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EKB-FS3\sp!\Для торговли\ТЮМЕНЬ\KPI 2026\Аутстаффинг\02. Февраль\"/>
    </mc:Choice>
  </mc:AlternateContent>
  <xr:revisionPtr revIDLastSave="0" documentId="13_ncr:1_{47E74E77-022D-4BE3-A345-AA6EF89FBD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февраль" sheetId="1" r:id="rId1"/>
  </sheets>
  <definedNames>
    <definedName name="_xlnm._FilterDatabase" localSheetId="0" hidden="1">февраль!$A$2:$NR$70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5" i="1" l="1"/>
  <c r="L75" i="1"/>
  <c r="L73" i="1" l="1"/>
  <c r="L74" i="1"/>
  <c r="K73" i="1"/>
  <c r="K74" i="1"/>
  <c r="L71" i="1" l="1"/>
  <c r="K71" i="1" s="1"/>
  <c r="L72" i="1"/>
  <c r="K72" i="1" s="1"/>
  <c r="L6" i="1"/>
  <c r="K6" i="1" s="1"/>
  <c r="L7" i="1"/>
  <c r="K7" i="1" s="1"/>
  <c r="L8" i="1"/>
  <c r="K8" i="1" s="1"/>
  <c r="L9" i="1"/>
  <c r="K9" i="1" s="1"/>
  <c r="L10" i="1"/>
  <c r="K10" i="1" s="1"/>
  <c r="L11" i="1"/>
  <c r="K11" i="1" s="1"/>
  <c r="L12" i="1"/>
  <c r="K12" i="1" s="1"/>
  <c r="L13" i="1"/>
  <c r="K13" i="1" s="1"/>
  <c r="L14" i="1"/>
  <c r="L15" i="1"/>
  <c r="K15" i="1" s="1"/>
  <c r="L16" i="1"/>
  <c r="L17" i="1"/>
  <c r="K17" i="1" s="1"/>
  <c r="L18" i="1"/>
  <c r="L19" i="1"/>
  <c r="K19" i="1" s="1"/>
  <c r="L20" i="1"/>
  <c r="K20" i="1" s="1"/>
  <c r="L21" i="1"/>
  <c r="K21" i="1" s="1"/>
  <c r="L22" i="1"/>
  <c r="K22" i="1" s="1"/>
  <c r="L23" i="1"/>
  <c r="K23" i="1" s="1"/>
  <c r="L24" i="1"/>
  <c r="K24" i="1" s="1"/>
  <c r="L25" i="1"/>
  <c r="K25" i="1" s="1"/>
  <c r="L26" i="1"/>
  <c r="K26" i="1" s="1"/>
  <c r="L27" i="1"/>
  <c r="K27" i="1" s="1"/>
  <c r="L28" i="1"/>
  <c r="K28" i="1" s="1"/>
  <c r="L29" i="1"/>
  <c r="K29" i="1" s="1"/>
  <c r="L30" i="1"/>
  <c r="L31" i="1"/>
  <c r="K31" i="1" s="1"/>
  <c r="L32" i="1"/>
  <c r="K32" i="1" s="1"/>
  <c r="L33" i="1"/>
  <c r="K33" i="1" s="1"/>
  <c r="L34" i="1"/>
  <c r="K34" i="1" s="1"/>
  <c r="L35" i="1"/>
  <c r="K35" i="1" s="1"/>
  <c r="L36" i="1"/>
  <c r="K36" i="1" s="1"/>
  <c r="L37" i="1"/>
  <c r="K37" i="1" s="1"/>
  <c r="L38" i="1"/>
  <c r="L39" i="1"/>
  <c r="K39" i="1" s="1"/>
  <c r="L40" i="1"/>
  <c r="L41" i="1"/>
  <c r="K41" i="1" s="1"/>
  <c r="L42" i="1"/>
  <c r="K42" i="1" s="1"/>
  <c r="L43" i="1"/>
  <c r="K43" i="1" s="1"/>
  <c r="L44" i="1"/>
  <c r="K44" i="1" s="1"/>
  <c r="L45" i="1"/>
  <c r="K45" i="1" s="1"/>
  <c r="L46" i="1"/>
  <c r="L47" i="1"/>
  <c r="K47" i="1" s="1"/>
  <c r="L48" i="1"/>
  <c r="L49" i="1"/>
  <c r="K49" i="1" s="1"/>
  <c r="L50" i="1"/>
  <c r="K50" i="1" s="1"/>
  <c r="L51" i="1"/>
  <c r="K51" i="1" s="1"/>
  <c r="L52" i="1"/>
  <c r="K52" i="1" s="1"/>
  <c r="L53" i="1"/>
  <c r="K53" i="1" s="1"/>
  <c r="L54" i="1"/>
  <c r="K54" i="1" s="1"/>
  <c r="L55" i="1"/>
  <c r="K55" i="1" s="1"/>
  <c r="L56" i="1"/>
  <c r="K56" i="1" s="1"/>
  <c r="L57" i="1"/>
  <c r="K57" i="1" s="1"/>
  <c r="L58" i="1"/>
  <c r="K58" i="1" s="1"/>
  <c r="L59" i="1"/>
  <c r="K59" i="1" s="1"/>
  <c r="L60" i="1"/>
  <c r="K60" i="1" s="1"/>
  <c r="L61" i="1"/>
  <c r="L62" i="1"/>
  <c r="K62" i="1" s="1"/>
  <c r="L63" i="1"/>
  <c r="L64" i="1"/>
  <c r="K64" i="1" s="1"/>
  <c r="L65" i="1"/>
  <c r="K65" i="1" s="1"/>
  <c r="L66" i="1"/>
  <c r="K66" i="1" s="1"/>
  <c r="L67" i="1"/>
  <c r="K67" i="1" s="1"/>
  <c r="L68" i="1"/>
  <c r="K68" i="1" s="1"/>
  <c r="L69" i="1"/>
  <c r="L70" i="1"/>
  <c r="K70" i="1" s="1"/>
  <c r="L5" i="1"/>
  <c r="K5" i="1" s="1"/>
  <c r="K14" i="1"/>
  <c r="K16" i="1"/>
  <c r="K18" i="1"/>
  <c r="K30" i="1"/>
  <c r="K38" i="1"/>
  <c r="K40" i="1"/>
  <c r="K46" i="1"/>
  <c r="K48" i="1"/>
  <c r="K61" i="1"/>
  <c r="K63" i="1"/>
  <c r="K69" i="1"/>
  <c r="K3" i="1" l="1"/>
</calcChain>
</file>

<file path=xl/sharedStrings.xml><?xml version="1.0" encoding="utf-8"?>
<sst xmlns="http://schemas.openxmlformats.org/spreadsheetml/2006/main" count="619" uniqueCount="320">
  <si>
    <t>ЗАПОЛНЯЕТСЯ УПФ</t>
  </si>
  <si>
    <t>ИД</t>
  </si>
  <si>
    <t>№ п/п</t>
  </si>
  <si>
    <t>ТМ</t>
  </si>
  <si>
    <t>УПФ</t>
  </si>
  <si>
    <t>Адрес объекта КАК В 1с</t>
  </si>
  <si>
    <t>Вид оказываемых услуг</t>
  </si>
  <si>
    <t>Подрядчик</t>
  </si>
  <si>
    <t>ДМ</t>
  </si>
  <si>
    <t>Email</t>
  </si>
  <si>
    <t>Часы</t>
  </si>
  <si>
    <t>Кол-во часов по дням</t>
  </si>
  <si>
    <t>комментарий</t>
  </si>
  <si>
    <t>чт</t>
  </si>
  <si>
    <t>пт</t>
  </si>
  <si>
    <t>сб</t>
  </si>
  <si>
    <t>вс</t>
  </si>
  <si>
    <t>пн</t>
  </si>
  <si>
    <t>вт</t>
  </si>
  <si>
    <t>ср</t>
  </si>
  <si>
    <t>212 руб Без НДС  с 01.09.2025</t>
  </si>
  <si>
    <t>1 аут</t>
  </si>
  <si>
    <t>не более 170 часов</t>
  </si>
  <si>
    <t xml:space="preserve">Телефон </t>
  </si>
  <si>
    <t>Количество</t>
  </si>
  <si>
    <t>2 аут</t>
  </si>
  <si>
    <t>не более 340 часов</t>
  </si>
  <si>
    <t>Сорокина Оксана Валерьевна</t>
  </si>
  <si>
    <t>Вятчанина Татьяна Валерьевна</t>
  </si>
  <si>
    <t>Ишим, Ялуторовская, 91</t>
  </si>
  <si>
    <t>выкладка товара</t>
  </si>
  <si>
    <t>перспектива</t>
  </si>
  <si>
    <t>Долгушев Владислав Сергеевич</t>
  </si>
  <si>
    <t>79129234783</t>
  </si>
  <si>
    <t>vdolgushev@monetka.ru</t>
  </si>
  <si>
    <t>Барышникова Евгения Олеговна</t>
  </si>
  <si>
    <t>Реймер Евгения Юрьевна</t>
  </si>
  <si>
    <t>Тюмень, Станционная, 24, Корпус 1/4, 1/5</t>
  </si>
  <si>
    <t>выкладка товпра</t>
  </si>
  <si>
    <t>Филатова Галина Игоревна</t>
  </si>
  <si>
    <t>79612018739</t>
  </si>
  <si>
    <t>gfilatova@monetka.ru</t>
  </si>
  <si>
    <t>Тюмень, Вербовая, 4, к. 2, пом. 9</t>
  </si>
  <si>
    <t>Шохирева Елена Валерьевна</t>
  </si>
  <si>
    <t>eshohireva@monetka.ru</t>
  </si>
  <si>
    <t>Кулакова Анастасия Георгиевна</t>
  </si>
  <si>
    <t>Тюмень, Ватутина, 16а-1</t>
  </si>
  <si>
    <t>Плаксина Эльвира Можировна</t>
  </si>
  <si>
    <t>79048884849</t>
  </si>
  <si>
    <t>eplaksina@monetka.ru</t>
  </si>
  <si>
    <t>Тюмень, Дружбы, 167, пом. 1</t>
  </si>
  <si>
    <t>Орлов Олег Николаевич</t>
  </si>
  <si>
    <t>79526772968</t>
  </si>
  <si>
    <t>oorlov@monetka.ru</t>
  </si>
  <si>
    <t>Тюмень, Жуковского, 76, корпус 1</t>
  </si>
  <si>
    <t>Тюлькова Надежда Михайловна</t>
  </si>
  <si>
    <t>79129923642</t>
  </si>
  <si>
    <t>ntyulkova@monetka.ru</t>
  </si>
  <si>
    <t>Фисюк Ленария Радиковна</t>
  </si>
  <si>
    <t>Тюмень, Алматинская, 4, пом. 8,9,10</t>
  </si>
  <si>
    <t>Падуева Елена Сергеевна</t>
  </si>
  <si>
    <t>79829410426</t>
  </si>
  <si>
    <t>epadueva@monetka.ru</t>
  </si>
  <si>
    <t>Тюмень, Мельникайте, 122, стр. 1</t>
  </si>
  <si>
    <t>Матигорова Екатерина Валерьевна</t>
  </si>
  <si>
    <t>79220790743</t>
  </si>
  <si>
    <t>ematigorova@monetka.ru</t>
  </si>
  <si>
    <t>Тюмень, Совхозная, 86, стр. 2</t>
  </si>
  <si>
    <t>Зуева Светлана Юрьевна</t>
  </si>
  <si>
    <t>79129274796</t>
  </si>
  <si>
    <t>szueva@monetka.ru</t>
  </si>
  <si>
    <t>Очнев Алексей Михайлович</t>
  </si>
  <si>
    <t>Кривогузова Диана Зиннатовна</t>
  </si>
  <si>
    <t>Тобольск, Октябрьская, 46</t>
  </si>
  <si>
    <t>Зайдулина Рамзия Азисчановна</t>
  </si>
  <si>
    <t>rshishalova@monetka.ru</t>
  </si>
  <si>
    <t>Прудаева Марина Валериевна</t>
  </si>
  <si>
    <t>Винзили, Вокзальная, 70, пом. 1,2</t>
  </si>
  <si>
    <t>Пинигина Екатерина Сергеевна</t>
  </si>
  <si>
    <t>79324842135</t>
  </si>
  <si>
    <t>epinigina@monetka.ru</t>
  </si>
  <si>
    <t>Винзили, Полевая, зд. 1В</t>
  </si>
  <si>
    <t>Лаптев Станислав Николаевич</t>
  </si>
  <si>
    <t>slaptev@monetka.ru</t>
  </si>
  <si>
    <t>Исетское, Механизаторов, зд. 21а</t>
  </si>
  <si>
    <t>Костоломова Алла Алексеевна</t>
  </si>
  <si>
    <t>79222674608</t>
  </si>
  <si>
    <t>akostolomova@monetka.ru</t>
  </si>
  <si>
    <t>Ялуторовск, Свободы, д. 228</t>
  </si>
  <si>
    <t>Белов Кирилл Вячеславович</t>
  </si>
  <si>
    <t>79523472550</t>
  </si>
  <si>
    <t>kibelov@monetka.ru</t>
  </si>
  <si>
    <t>Трубин Роман Юрьевич</t>
  </si>
  <si>
    <t>Тюмень, Елизарова, 8/2</t>
  </si>
  <si>
    <t>Лукошкова Елена Владиславовна</t>
  </si>
  <si>
    <t>79966398047</t>
  </si>
  <si>
    <t>elukoshkova@monetka.ru</t>
  </si>
  <si>
    <t>Тюмень, Максима Горького, 83</t>
  </si>
  <si>
    <t>Назаренко Юлия Михайловна</t>
  </si>
  <si>
    <t>79829026290</t>
  </si>
  <si>
    <t>yunazarenko@monetka.ru</t>
  </si>
  <si>
    <t>Тюмень, Малыгина, 73, Пом. 2</t>
  </si>
  <si>
    <t>Велижанина Валентина Юрьевна</t>
  </si>
  <si>
    <t>79088672351</t>
  </si>
  <si>
    <t>vvelizhanina@monetka.ru</t>
  </si>
  <si>
    <t>Хасанова Татьяна Владимировна</t>
  </si>
  <si>
    <t>Патрушева, Трактовая, зд. 137</t>
  </si>
  <si>
    <t>Пальшина Екатерина Юрьевна</t>
  </si>
  <si>
    <t>79199217478</t>
  </si>
  <si>
    <t>epalshina@monetka.ru</t>
  </si>
  <si>
    <t>Тюмень, Пермякова, 25, пом. 2</t>
  </si>
  <si>
    <t>Фаттаков Илсаф Рустамович</t>
  </si>
  <si>
    <t>ifattakov@monetka.ru</t>
  </si>
  <si>
    <t>Тюмень, Федюнинского, 15/1</t>
  </si>
  <si>
    <t>Зяблых Виталий Геннадьевич</t>
  </si>
  <si>
    <t>79224745457</t>
  </si>
  <si>
    <t>vzyablyh@monetka.ru</t>
  </si>
  <si>
    <t>Тюмень, Широтная, 186в</t>
  </si>
  <si>
    <t>Ипатьева Валерия Юрьевна</t>
  </si>
  <si>
    <t>vipateva@monetka.ru</t>
  </si>
  <si>
    <t>Шатров Иван Владимирович</t>
  </si>
  <si>
    <t>Борки, Дачная, зд. 1А</t>
  </si>
  <si>
    <t>Белякова Лилия Александровна</t>
  </si>
  <si>
    <t>79048769329</t>
  </si>
  <si>
    <t>lbelyakova@monetka.ru</t>
  </si>
  <si>
    <t>Тюмень, Пожарных и Спасателей, 3, к. 1, пом. 7</t>
  </si>
  <si>
    <t>Фатыхова Регина Мансуровна</t>
  </si>
  <si>
    <t>79504923066</t>
  </si>
  <si>
    <t>rfatyhova@monetka.ru</t>
  </si>
  <si>
    <t>Тюмень, Тимофея Кармацкого, 11, пом. 3,4</t>
  </si>
  <si>
    <t>Май Оксана Николаевна</t>
  </si>
  <si>
    <t>79068205797</t>
  </si>
  <si>
    <t>omai@monetka.ru</t>
  </si>
  <si>
    <t>Ярково, Ленина, 82, стр 1, пом 1</t>
  </si>
  <si>
    <t>Тимирова Мария Юрьевна</t>
  </si>
  <si>
    <t>79199383278</t>
  </si>
  <si>
    <t>mtimirova@monetka.ru</t>
  </si>
  <si>
    <t>Тюмень, Заречный проезд, 12а</t>
  </si>
  <si>
    <t>Юрасова Ольга Александровна</t>
  </si>
  <si>
    <t>79617796162</t>
  </si>
  <si>
    <t>oyurasova@monetka.ru</t>
  </si>
  <si>
    <t>Вилисов Станислав Олегович</t>
  </si>
  <si>
    <t>Большие Акияры, 8 Марта, 1</t>
  </si>
  <si>
    <t>Ражева Луиза Андреевна</t>
  </si>
  <si>
    <t>79914365837</t>
  </si>
  <si>
    <t>lrazheva@monetka.ru</t>
  </si>
  <si>
    <t>Тюмень, Пермякова, 39/3, 39/4</t>
  </si>
  <si>
    <t>Повышева Надежда Анатольевна</t>
  </si>
  <si>
    <t>79827709335</t>
  </si>
  <si>
    <t>npovishiva@monetka.ru</t>
  </si>
  <si>
    <t>Тюмень, Пермякова, 54, пом. 6</t>
  </si>
  <si>
    <t>Денисова Анастасия Аркадьевна</t>
  </si>
  <si>
    <t>79829693208</t>
  </si>
  <si>
    <t>anadenisova@monetka.ru</t>
  </si>
  <si>
    <t>Червишево, Магистральная, 2/2</t>
  </si>
  <si>
    <t>Тюменцева Галина Владимировна</t>
  </si>
  <si>
    <t>79829895443</t>
  </si>
  <si>
    <t>gtyumentseva@monetka.ru</t>
  </si>
  <si>
    <t>Червишево, Магистральная, зд. 19</t>
  </si>
  <si>
    <t>Насырьянова Олеся Сергеевна</t>
  </si>
  <si>
    <t>79199457833</t>
  </si>
  <si>
    <t>onasyryanova@monetka.ru</t>
  </si>
  <si>
    <t>Червишево, Строителей, 2а</t>
  </si>
  <si>
    <t>Бойцова Дарья Николаевна</t>
  </si>
  <si>
    <t>79829011815</t>
  </si>
  <si>
    <t>dnboytsova@monetka.ru</t>
  </si>
  <si>
    <t>Сараева Анастасия Владимировна</t>
  </si>
  <si>
    <t>Тюмень, Василия Гольцова, 9, пом. 2,3</t>
  </si>
  <si>
    <t>Трифонова Юлия Владимировна</t>
  </si>
  <si>
    <t>79097398202</t>
  </si>
  <si>
    <t>yutrifonova@monetka.ru</t>
  </si>
  <si>
    <t>Тюмень, Николая Ростовцева, 24, пом. 1</t>
  </si>
  <si>
    <t>Михайлова Ирина Владимировна</t>
  </si>
  <si>
    <t>79199566292</t>
  </si>
  <si>
    <t>irmihailova@monetka.ru</t>
  </si>
  <si>
    <t>Тюмень, Рождественская, 5а</t>
  </si>
  <si>
    <t>Лизогуб Игорь Николаевич</t>
  </si>
  <si>
    <t>79048776565</t>
  </si>
  <si>
    <t>ilizogub@monetka.ru</t>
  </si>
  <si>
    <t>Тюмень, Широтная, 108г</t>
  </si>
  <si>
    <t>Назарова Наталья Викторовна</t>
  </si>
  <si>
    <t>79091813719</t>
  </si>
  <si>
    <t>nanazarova@monetka.ru</t>
  </si>
  <si>
    <t>Ялуторовск, Комсомольская, 12</t>
  </si>
  <si>
    <t>Мартын Людмила Вячеславовна</t>
  </si>
  <si>
    <t>lmartyn@monetka.ru</t>
  </si>
  <si>
    <t>Удальцов Дмитирй Евгеньевич</t>
  </si>
  <si>
    <t>Сухина Инна Ильгизовна</t>
  </si>
  <si>
    <t>Тюмень, Мелиораторов, 52, пом.1</t>
  </si>
  <si>
    <t>Лери Ида Александровна</t>
  </si>
  <si>
    <t>79220456616</t>
  </si>
  <si>
    <t>ileri@monetka.ru</t>
  </si>
  <si>
    <t>Удальцов Дмитрий Евгеньевич</t>
  </si>
  <si>
    <t>Слаутина Евгения Леонидовна</t>
  </si>
  <si>
    <t>Тюмень, Республики, 176/1</t>
  </si>
  <si>
    <t>Смородин Никита Сергеевич</t>
  </si>
  <si>
    <t>79123100880</t>
  </si>
  <si>
    <t>nsmorodin@monetka.ru</t>
  </si>
  <si>
    <t>Тюмень, 50 лет Октября, 1а</t>
  </si>
  <si>
    <t>Дагаева Мадина Насырсултановна</t>
  </si>
  <si>
    <t>79229208888</t>
  </si>
  <si>
    <t>mdagaeva@monetka.ru</t>
  </si>
  <si>
    <t>Шендра Ольга Александровна</t>
  </si>
  <si>
    <t>Тюмень, Вьюжная, 15, пом. 1</t>
  </si>
  <si>
    <t>Яговкина Татьяна Николаевна</t>
  </si>
  <si>
    <t>79028187771</t>
  </si>
  <si>
    <t>tburdahina@monetka.ru</t>
  </si>
  <si>
    <t>Тюмень, 30 лет Победы, 62/1</t>
  </si>
  <si>
    <t>Газизова Мария Александровна</t>
  </si>
  <si>
    <t>79174368606</t>
  </si>
  <si>
    <t>mgazizova@monetka.ru</t>
  </si>
  <si>
    <t>Тюмень, Василия Малкова, д. 9, пом. 2</t>
  </si>
  <si>
    <t>Жиделев Денис Леонидович</t>
  </si>
  <si>
    <t>79829891324</t>
  </si>
  <si>
    <t>dzhidelev@monetka.ru</t>
  </si>
  <si>
    <t>Тюмень, Василия Подшибякина, 9, пом. 1</t>
  </si>
  <si>
    <t>Тюмень, Тимирязева, 141, ПОМ. 1</t>
  </si>
  <si>
    <t>Моисеенко Елена Анатольевна</t>
  </si>
  <si>
    <t>79829650695</t>
  </si>
  <si>
    <t>emoiseenko@monetka.ru</t>
  </si>
  <si>
    <t>Тюмень, Червишевский, 23</t>
  </si>
  <si>
    <t>Петрова Светлана Александровна .</t>
  </si>
  <si>
    <t>79224739134</t>
  </si>
  <si>
    <t>spetrova@monetka.ru</t>
  </si>
  <si>
    <t>Тюмень, Широтная, 169/1</t>
  </si>
  <si>
    <t>Негара Ольга Витальевна</t>
  </si>
  <si>
    <t>79827890972</t>
  </si>
  <si>
    <t>onegara@monetka.ru</t>
  </si>
  <si>
    <t>Косоротикова Янна Владимировна</t>
  </si>
  <si>
    <t>Тюмень, Ореховая, 32, к. 2</t>
  </si>
  <si>
    <t>Терехова Ирина Геннадьевна</t>
  </si>
  <si>
    <t>79044998286</t>
  </si>
  <si>
    <t>iterehova@monetka.ru</t>
  </si>
  <si>
    <t>Тюмень, Григория Алексеева, 33</t>
  </si>
  <si>
    <t>Виноградова Светлана Георгиевна</t>
  </si>
  <si>
    <t>79324712151</t>
  </si>
  <si>
    <t>segorova@monetka.ru</t>
  </si>
  <si>
    <t>Чуприна Оксана Николаевна</t>
  </si>
  <si>
    <t>Тобольск, тер. Зона Вузов, 7, пом. 3</t>
  </si>
  <si>
    <t>Перспектива</t>
  </si>
  <si>
    <t>Кульмаметов Ильсаф Тимурович</t>
  </si>
  <si>
    <t>79048733531</t>
  </si>
  <si>
    <t>ikulmametov@monetka.ru</t>
  </si>
  <si>
    <t>Тобольск, 4 микрорайон, 71</t>
  </si>
  <si>
    <t>Гиздатуллина Лилия Рафисовна</t>
  </si>
  <si>
    <t>79199308126</t>
  </si>
  <si>
    <t>lgizdatullina@monetka.ru</t>
  </si>
  <si>
    <t>Тобольск, 7 мкр, 48б, п.1 п.2</t>
  </si>
  <si>
    <t>Цыганкова Наталья Валериевна</t>
  </si>
  <si>
    <t>79129991918</t>
  </si>
  <si>
    <t>ncygankova@monetka.ru</t>
  </si>
  <si>
    <t>Тобольск, 9 мкр, 34Б</t>
  </si>
  <si>
    <t>Айсина Рената Бикмухаметовна</t>
  </si>
  <si>
    <t>raisina@monetka.ru</t>
  </si>
  <si>
    <t>Тобольск, 6-й мкр, 14/4</t>
  </si>
  <si>
    <t>Ереско Наталья Николаевна</t>
  </si>
  <si>
    <t>79199559303</t>
  </si>
  <si>
    <t>neresko@monetka.ru</t>
  </si>
  <si>
    <t>Тобольск, 6 мкр, 4/1</t>
  </si>
  <si>
    <t>Рагозина Ирина Викторовна</t>
  </si>
  <si>
    <t>Ишим, Иркутская, 11</t>
  </si>
  <si>
    <t>Рачёва Светлана Геннадьевна</t>
  </si>
  <si>
    <t>79963206550</t>
  </si>
  <si>
    <t>sracheva@monetka.ru</t>
  </si>
  <si>
    <t>Шпрейер Наталья Александровна</t>
  </si>
  <si>
    <t>Патрушева, Петра Ершова, д. 7, пом. 5</t>
  </si>
  <si>
    <t>Юдина Светлана Владимировна</t>
  </si>
  <si>
    <t>79504829900</t>
  </si>
  <si>
    <t>syudina@monetka.ru</t>
  </si>
  <si>
    <t>Тобольск, 7а мкрн, 39/4</t>
  </si>
  <si>
    <t>Рознин Денис Адылович</t>
  </si>
  <si>
    <t>droznin@monetka.ru</t>
  </si>
  <si>
    <t>Тобольск, Пушкина, 21</t>
  </si>
  <si>
    <t>Бухарова Татьяна Аркадьевна</t>
  </si>
  <si>
    <t>tbuharova@monetka.ru</t>
  </si>
  <si>
    <t>Тобольск, Хохрякова, 20</t>
  </si>
  <si>
    <t>Бакулина Анастасия Михайловна</t>
  </si>
  <si>
    <t>abakulina@monetka.ru</t>
  </si>
  <si>
    <t>Уват, Речная, зд. 19а, пом. 3</t>
  </si>
  <si>
    <t>Сунцова Клара Владимировна</t>
  </si>
  <si>
    <t>ksuntsova@monetka.ru</t>
  </si>
  <si>
    <t>Туртас, Ленина, 45</t>
  </si>
  <si>
    <t>Тюплина Екатерина Ивановна</t>
  </si>
  <si>
    <t>etyuplina@monetka.ru</t>
  </si>
  <si>
    <t>Патрушева, Федора Достоевского, 24, пом. 1</t>
  </si>
  <si>
    <t>Пахомова Ольга Геннадьевна</t>
  </si>
  <si>
    <t>Тюмень, Пражская, 10, Стр. 2</t>
  </si>
  <si>
    <t>Белова Василя Искандаровна</t>
  </si>
  <si>
    <t>79044915109</t>
  </si>
  <si>
    <t>vziganshina@monetka.ru</t>
  </si>
  <si>
    <t>Пахомова Ольга Генадьевна</t>
  </si>
  <si>
    <t>Тюмень, Эльвиры Федоровой, 1, пом. 3</t>
  </si>
  <si>
    <t>ereimer@monetka.ru</t>
  </si>
  <si>
    <t>Тюмень, Народная, 4, 6/1</t>
  </si>
  <si>
    <t>Азнабаева Гузель Галимухаметовна</t>
  </si>
  <si>
    <t>gaznabaeva@monetka.ru</t>
  </si>
  <si>
    <t>Временно</t>
  </si>
  <si>
    <t>постоянная. Вместо ГПХ. 2 ДЛ БЛ</t>
  </si>
  <si>
    <t>2 бл</t>
  </si>
  <si>
    <t>вакансия (будет перевод)</t>
  </si>
  <si>
    <t>вакансия</t>
  </si>
  <si>
    <t>бл</t>
  </si>
  <si>
    <t>2 вакансии, БЛ</t>
  </si>
  <si>
    <t>Тюмень, Монтажников, 8,3</t>
  </si>
  <si>
    <t>Захарова Светлана Валерьевна</t>
  </si>
  <si>
    <t>79058202447</t>
  </si>
  <si>
    <t>svzaharova@monetka.ru</t>
  </si>
  <si>
    <t>Тюмень, Федюнинского, 54, пом 2, 3</t>
  </si>
  <si>
    <t>Загибалов Роман Владимирович</t>
  </si>
  <si>
    <t>79829736656</t>
  </si>
  <si>
    <t>rzagibalov@monetka.ru</t>
  </si>
  <si>
    <t>Патрушева, Петра Ершова, 14, пом. 5,6</t>
  </si>
  <si>
    <t>Тюмень, Республики, 90/1а</t>
  </si>
  <si>
    <t>Чижикова Татьяна Леонидовна</t>
  </si>
  <si>
    <t>79123996252</t>
  </si>
  <si>
    <t>tchizhikova@monetka.ru</t>
  </si>
  <si>
    <t>Тюмень, Олимпийская, 6, 1</t>
  </si>
  <si>
    <t>Рыжкова Марина Сергеевна .</t>
  </si>
  <si>
    <t>79526753547</t>
  </si>
  <si>
    <t>mryzhkova@monetka.ru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</si>
</sst>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_-* #,##0.00\ _₽_-;\-* #,##0.00\ _₽_-;_-* &quot;-&quot;??\ _₽_-;_-@_-"/>
    <numFmt numFmtId="165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theme="1"/>
      <name val="Tahoma"/>
      <family val="2"/>
    </font>
    <font>
      <sz val="8"/>
      <name val="Arial"/>
      <family val="2"/>
      <charset val="204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164" fontId="5" fillId="0" borderId="0" applyFont="0" applyFill="0" applyBorder="0" applyAlignment="0" applyProtection="0"/>
    <xf numFmtId="0" fontId="4" fillId="0" borderId="0"/>
    <xf numFmtId="0" fontId="3" fillId="0" borderId="0"/>
    <xf numFmtId="0" fontId="18" fillId="0" borderId="0"/>
    <xf numFmtId="0" fontId="19" fillId="0" borderId="0">
      <alignment horizontal="left"/>
    </xf>
    <xf numFmtId="0" fontId="3" fillId="0" borderId="0"/>
    <xf numFmtId="0" fontId="3" fillId="0" borderId="0"/>
    <xf numFmtId="0" fontId="5" fillId="0" borderId="0"/>
    <xf numFmtId="0" fontId="3" fillId="0" borderId="0"/>
    <xf numFmtId="0" fontId="19" fillId="0" borderId="0"/>
    <xf numFmtId="0" fontId="19" fillId="0" borderId="0"/>
    <xf numFmtId="0" fontId="19" fillId="0" borderId="0"/>
    <xf numFmtId="164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21" fillId="0" borderId="0" applyNumberFormat="0" applyFill="0" applyBorder="0" applyAlignment="0" applyProtection="0"/>
  </cellStyleXfs>
  <cellXfs count="102"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0" borderId="0" xfId="0" applyFont="1" applyFill="1"/>
    <xf numFmtId="0" fontId="8" fillId="0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11" fillId="0" borderId="0" xfId="0" applyFont="1" applyFill="1"/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3" fillId="3" borderId="6" xfId="0" applyFont="1" applyFill="1" applyBorder="1"/>
    <xf numFmtId="0" fontId="13" fillId="3" borderId="3" xfId="0" applyFont="1" applyFill="1" applyBorder="1"/>
    <xf numFmtId="0" fontId="8" fillId="0" borderId="0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/>
    </xf>
    <xf numFmtId="0" fontId="16" fillId="2" borderId="1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/>
    </xf>
    <xf numFmtId="0" fontId="17" fillId="0" borderId="0" xfId="0" applyFont="1" applyFill="1"/>
    <xf numFmtId="0" fontId="11" fillId="0" borderId="1" xfId="0" applyFont="1" applyFill="1" applyBorder="1" applyAlignment="1">
      <alignment horizontal="left"/>
    </xf>
    <xf numFmtId="0" fontId="15" fillId="6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left" vertical="center"/>
      <protection locked="0"/>
    </xf>
    <xf numFmtId="0" fontId="17" fillId="4" borderId="0" xfId="0" applyFont="1" applyFill="1"/>
    <xf numFmtId="0" fontId="16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44" fontId="22" fillId="0" borderId="1" xfId="0" applyNumberFormat="1" applyFont="1" applyBorder="1" applyAlignment="1">
      <alignment horizontal="center" vertical="center" wrapText="1"/>
    </xf>
    <xf numFmtId="9" fontId="14" fillId="2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65" fontId="22" fillId="2" borderId="1" xfId="0" applyNumberFormat="1" applyFont="1" applyFill="1" applyBorder="1" applyAlignment="1">
      <alignment horizontal="center" vertical="center" wrapText="1"/>
    </xf>
    <xf numFmtId="2" fontId="22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65" fontId="23" fillId="5" borderId="5" xfId="2" applyNumberFormat="1" applyFont="1" applyFill="1" applyBorder="1" applyAlignment="1" applyProtection="1">
      <alignment horizontal="center" vertical="center"/>
      <protection locked="0"/>
    </xf>
    <xf numFmtId="2" fontId="7" fillId="4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21" fillId="0" borderId="1" xfId="20" applyBorder="1" applyAlignment="1">
      <alignment horizontal="left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/>
    <xf numFmtId="0" fontId="7" fillId="0" borderId="1" xfId="0" applyFont="1" applyBorder="1" applyAlignment="1">
      <alignment vertical="center"/>
    </xf>
    <xf numFmtId="0" fontId="0" fillId="0" borderId="1" xfId="0" applyBorder="1"/>
    <xf numFmtId="0" fontId="8" fillId="4" borderId="1" xfId="0" applyFont="1" applyFill="1" applyBorder="1" applyAlignment="1" applyProtection="1">
      <alignment vertic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4" borderId="1" xfId="0" applyFont="1" applyFill="1" applyBorder="1" applyAlignment="1">
      <alignment vertical="center"/>
    </xf>
    <xf numFmtId="0" fontId="8" fillId="4" borderId="2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/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7" fillId="4" borderId="1" xfId="0" applyFont="1" applyFill="1" applyBorder="1"/>
    <xf numFmtId="0" fontId="8" fillId="4" borderId="3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0" fillId="0" borderId="0" xfId="0" applyAlignment="1">
      <alignment horizontal="left"/>
    </xf>
    <xf numFmtId="0" fontId="12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0" fontId="17" fillId="6" borderId="1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>
      <alignment horizontal="center"/>
    </xf>
    <xf numFmtId="0" fontId="17" fillId="6" borderId="3" xfId="0" applyFont="1" applyFill="1" applyBorder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>
      <alignment horizontal="center"/>
    </xf>
    <xf numFmtId="0" fontId="17" fillId="0" borderId="1" xfId="0" applyFont="1" applyBorder="1"/>
    <xf numFmtId="0" fontId="8" fillId="6" borderId="1" xfId="0" applyFont="1" applyFill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horizontal="left"/>
    </xf>
  </cellXfs>
  <cellStyles count="21">
    <cellStyle name="Гиперссылка" xfId="20" builtinId="8"/>
    <cellStyle name="Обычный" xfId="0" builtinId="0"/>
    <cellStyle name="Обычный 2" xfId="4" xr:uid="{DD01930D-0EA2-43F3-8353-5C12E66613E6}"/>
    <cellStyle name="Обычный 2 2" xfId="10" xr:uid="{D3DE46A7-1541-4E38-B432-2FF46B46EBBF}"/>
    <cellStyle name="Обычный 27" xfId="19" xr:uid="{7EFDC483-632B-4117-8416-7C4182F4333E}"/>
    <cellStyle name="Обычный 3" xfId="5" xr:uid="{DA10D422-1F48-4EF1-855D-18C5D6D6E448}"/>
    <cellStyle name="Обычный 3 2" xfId="11" xr:uid="{AF3E417C-AE80-4837-BA67-E2A1D3C3B972}"/>
    <cellStyle name="Обычный 4" xfId="6" xr:uid="{3FE786D3-AFCF-4D9E-B787-07D281B66B0E}"/>
    <cellStyle name="Обычный 4 2" xfId="12" xr:uid="{F6F1B835-5D13-4213-A216-1F86F919B72B}"/>
    <cellStyle name="Обычный 4 3" xfId="15" xr:uid="{80818F82-A80F-4954-A37B-61F04CF3BC6D}"/>
    <cellStyle name="Обычный 5" xfId="2" xr:uid="{28139257-7820-4899-BD1F-0CBE41D6B2A2}"/>
    <cellStyle name="Обычный 5 2" xfId="7" xr:uid="{87910118-ABD9-4952-A074-EEFAFC6BF9FB}"/>
    <cellStyle name="Обычный 5 3" xfId="16" xr:uid="{C881BFAE-E40E-4E56-ABD6-556B74D1D9B4}"/>
    <cellStyle name="Обычный 6" xfId="9" xr:uid="{505942F5-2D0C-47BB-8294-F39893F22FE5}"/>
    <cellStyle name="Обычный 6 2" xfId="17" xr:uid="{D95B13E5-4F95-4B16-B4EB-D9CB547F42C7}"/>
    <cellStyle name="Обычный 7" xfId="8" xr:uid="{444C7E91-39B0-44D1-8ECE-09279EEA768F}"/>
    <cellStyle name="Обычный 8" xfId="3" xr:uid="{45EC345E-9501-431B-96AD-6802F82F1C1C}"/>
    <cellStyle name="Обычный 9" xfId="14" xr:uid="{7E67ED43-A2A3-4979-B372-76B7470376EB}"/>
    <cellStyle name="Финансовый" xfId="1" builtinId="3"/>
    <cellStyle name="Финансовый 2" xfId="13" xr:uid="{1FFBFCEF-469F-4089-962D-583EF42F6FFD}"/>
    <cellStyle name="Финансовый 3" xfId="18" xr:uid="{1F180409-1884-4026-8786-6660D826972D}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filatova@monetka.ru" TargetMode="External"/><Relationship Id="rId1" Type="http://schemas.openxmlformats.org/officeDocument/2006/relationships/hyperlink" Target="mailto:ifattakov@monetk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R315"/>
  <sheetViews>
    <sheetView tabSelected="1" topLeftCell="A58" zoomScaleNormal="100" workbookViewId="0">
      <selection activeCell="E80" sqref="E80"/>
    </sheetView>
  </sheetViews>
  <sheetFormatPr defaultColWidth="8.88671875" defaultRowHeight="14.4" x14ac:dyDescent="0.3"/>
  <cols>
    <col min="1" max="1" width="7.88671875" style="72" customWidth="1"/>
    <col min="2" max="2" width="6" style="72" customWidth="1"/>
    <col min="3" max="3" width="29.88671875" style="71" customWidth="1"/>
    <col min="4" max="4" width="31.33203125" style="71" customWidth="1"/>
    <col min="5" max="5" width="30.109375" style="75" customWidth="1"/>
    <col min="6" max="6" width="17.6640625" style="76" customWidth="1"/>
    <col min="7" max="7" width="15.44140625" style="71" customWidth="1"/>
    <col min="8" max="8" width="28.88671875" style="77" customWidth="1"/>
    <col min="9" max="9" width="13.77734375" style="76" customWidth="1"/>
    <col min="10" max="10" width="17.109375" style="76" customWidth="1"/>
    <col min="11" max="11" width="15.44140625" style="78" customWidth="1"/>
    <col min="12" max="12" width="13.77734375" style="70" customWidth="1"/>
    <col min="13" max="13" width="3.6640625" style="23" customWidth="1"/>
    <col min="14" max="31" width="3.6640625" style="24" customWidth="1"/>
    <col min="32" max="32" width="3.6640625" style="29" customWidth="1"/>
    <col min="33" max="33" width="3.6640625" style="24" customWidth="1"/>
    <col min="34" max="34" width="3.21875" style="24" customWidth="1"/>
    <col min="35" max="40" width="3.6640625" style="24" customWidth="1"/>
    <col min="41" max="41" width="28.44140625" style="21" customWidth="1"/>
    <col min="42" max="42" width="8.88671875" style="8" customWidth="1"/>
    <col min="43" max="43" width="8.88671875" style="2" customWidth="1"/>
    <col min="44" max="382" width="8.88671875" style="2"/>
    <col min="383" max="16384" width="8.88671875" style="5"/>
  </cols>
  <sheetData>
    <row r="1" spans="1:43" ht="28.8" x14ac:dyDescent="0.25">
      <c r="A1" s="31"/>
      <c r="B1" s="9"/>
      <c r="C1" s="32"/>
      <c r="D1" s="32"/>
      <c r="E1" s="33" t="s">
        <v>0</v>
      </c>
      <c r="F1" s="10"/>
      <c r="G1" s="34"/>
      <c r="H1" s="91" t="s">
        <v>0</v>
      </c>
      <c r="I1" s="92"/>
      <c r="J1" s="93"/>
      <c r="K1" s="35" t="s">
        <v>20</v>
      </c>
      <c r="L1" s="36">
        <v>1924650</v>
      </c>
      <c r="M1" s="94" t="s">
        <v>0</v>
      </c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19"/>
      <c r="AP1" s="11" t="s">
        <v>21</v>
      </c>
      <c r="AQ1" s="11" t="s">
        <v>22</v>
      </c>
    </row>
    <row r="2" spans="1:43" ht="24" x14ac:dyDescent="0.3">
      <c r="A2" s="12" t="s">
        <v>1</v>
      </c>
      <c r="B2" s="1" t="s">
        <v>2</v>
      </c>
      <c r="C2" s="37" t="s">
        <v>3</v>
      </c>
      <c r="D2" s="37" t="s">
        <v>4</v>
      </c>
      <c r="E2" s="38" t="s">
        <v>5</v>
      </c>
      <c r="F2" s="1" t="s">
        <v>6</v>
      </c>
      <c r="G2" s="1" t="s">
        <v>7</v>
      </c>
      <c r="H2" s="1" t="s">
        <v>8</v>
      </c>
      <c r="I2" s="1" t="s">
        <v>23</v>
      </c>
      <c r="J2" s="1" t="s">
        <v>9</v>
      </c>
      <c r="K2" s="1" t="s">
        <v>24</v>
      </c>
      <c r="L2" s="39" t="s">
        <v>10</v>
      </c>
      <c r="M2" s="96" t="s">
        <v>11</v>
      </c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20" t="s">
        <v>12</v>
      </c>
      <c r="AP2" s="13" t="s">
        <v>25</v>
      </c>
      <c r="AQ2" s="14" t="s">
        <v>26</v>
      </c>
    </row>
    <row r="3" spans="1:43" x14ac:dyDescent="0.25">
      <c r="A3" s="31"/>
      <c r="B3" s="3"/>
      <c r="C3" s="17"/>
      <c r="D3" s="17"/>
      <c r="E3" s="40"/>
      <c r="F3" s="3"/>
      <c r="G3" s="4"/>
      <c r="H3" s="4"/>
      <c r="I3" s="3"/>
      <c r="J3" s="3"/>
      <c r="K3" s="41">
        <f>SUM(K5:K172)</f>
        <v>73.270588235294056</v>
      </c>
      <c r="L3" s="42">
        <v>8554</v>
      </c>
      <c r="M3" s="22" t="s">
        <v>16</v>
      </c>
      <c r="N3" s="22" t="s">
        <v>17</v>
      </c>
      <c r="O3" s="22" t="s">
        <v>18</v>
      </c>
      <c r="P3" s="22" t="s">
        <v>19</v>
      </c>
      <c r="Q3" s="22" t="s">
        <v>13</v>
      </c>
      <c r="R3" s="22" t="s">
        <v>14</v>
      </c>
      <c r="S3" s="22" t="s">
        <v>15</v>
      </c>
      <c r="T3" s="22" t="s">
        <v>16</v>
      </c>
      <c r="U3" s="22" t="s">
        <v>17</v>
      </c>
      <c r="V3" s="22" t="s">
        <v>18</v>
      </c>
      <c r="W3" s="22" t="s">
        <v>19</v>
      </c>
      <c r="X3" s="22" t="s">
        <v>13</v>
      </c>
      <c r="Y3" s="22" t="s">
        <v>14</v>
      </c>
      <c r="Z3" s="22" t="s">
        <v>15</v>
      </c>
      <c r="AA3" s="22" t="s">
        <v>16</v>
      </c>
      <c r="AB3" s="22" t="s">
        <v>17</v>
      </c>
      <c r="AC3" s="22" t="s">
        <v>18</v>
      </c>
      <c r="AD3" s="22" t="s">
        <v>19</v>
      </c>
      <c r="AE3" s="22" t="s">
        <v>13</v>
      </c>
      <c r="AF3" s="22" t="s">
        <v>14</v>
      </c>
      <c r="AG3" s="22" t="s">
        <v>15</v>
      </c>
      <c r="AH3" s="22" t="s">
        <v>16</v>
      </c>
      <c r="AI3" s="22" t="s">
        <v>17</v>
      </c>
      <c r="AJ3" s="22" t="s">
        <v>18</v>
      </c>
      <c r="AK3" s="22" t="s">
        <v>19</v>
      </c>
      <c r="AL3" s="22" t="s">
        <v>13</v>
      </c>
      <c r="AM3" s="22" t="s">
        <v>14</v>
      </c>
      <c r="AN3" s="22" t="s">
        <v>15</v>
      </c>
      <c r="AO3" s="6"/>
      <c r="AP3" s="15"/>
      <c r="AQ3" s="15"/>
    </row>
    <row r="4" spans="1:43" x14ac:dyDescent="0.25">
      <c r="A4" s="43"/>
      <c r="B4" s="16"/>
      <c r="C4" s="17"/>
      <c r="D4" s="17"/>
      <c r="E4" s="44"/>
      <c r="F4" s="16"/>
      <c r="G4" s="17"/>
      <c r="H4" s="17"/>
      <c r="I4" s="16"/>
      <c r="J4" s="16"/>
      <c r="K4" s="45"/>
      <c r="L4" s="16"/>
      <c r="M4" s="30">
        <v>1</v>
      </c>
      <c r="N4" s="22">
        <v>2</v>
      </c>
      <c r="O4" s="22">
        <v>3</v>
      </c>
      <c r="P4" s="22">
        <v>4</v>
      </c>
      <c r="Q4" s="22">
        <v>5</v>
      </c>
      <c r="R4" s="22">
        <v>6</v>
      </c>
      <c r="S4" s="30">
        <v>7</v>
      </c>
      <c r="T4" s="30">
        <v>8</v>
      </c>
      <c r="U4" s="22">
        <v>9</v>
      </c>
      <c r="V4" s="22">
        <v>10</v>
      </c>
      <c r="W4" s="22">
        <v>11</v>
      </c>
      <c r="X4" s="22">
        <v>12</v>
      </c>
      <c r="Y4" s="22">
        <v>13</v>
      </c>
      <c r="Z4" s="30">
        <v>14</v>
      </c>
      <c r="AA4" s="30">
        <v>15</v>
      </c>
      <c r="AB4" s="22">
        <v>16</v>
      </c>
      <c r="AC4" s="22">
        <v>17</v>
      </c>
      <c r="AD4" s="22">
        <v>18</v>
      </c>
      <c r="AE4" s="22">
        <v>19</v>
      </c>
      <c r="AF4" s="22">
        <v>20</v>
      </c>
      <c r="AG4" s="30">
        <v>21</v>
      </c>
      <c r="AH4" s="30">
        <v>22</v>
      </c>
      <c r="AI4" s="22">
        <v>23</v>
      </c>
      <c r="AJ4" s="22">
        <v>24</v>
      </c>
      <c r="AK4" s="22">
        <v>25</v>
      </c>
      <c r="AL4" s="22">
        <v>26</v>
      </c>
      <c r="AM4" s="22">
        <v>27</v>
      </c>
      <c r="AN4" s="30">
        <v>28</v>
      </c>
      <c r="AO4" s="6"/>
      <c r="AP4" s="15"/>
      <c r="AQ4" s="15"/>
    </row>
    <row r="5" spans="1:43" x14ac:dyDescent="0.3">
      <c r="A5" s="46">
        <v>4334</v>
      </c>
      <c r="B5" s="47">
        <v>1</v>
      </c>
      <c r="C5" s="48" t="s">
        <v>27</v>
      </c>
      <c r="D5" s="48" t="s">
        <v>28</v>
      </c>
      <c r="E5" s="48" t="s">
        <v>29</v>
      </c>
      <c r="F5" s="46" t="s">
        <v>30</v>
      </c>
      <c r="G5" s="46" t="s">
        <v>31</v>
      </c>
      <c r="H5" s="48" t="s">
        <v>32</v>
      </c>
      <c r="I5" s="46" t="s">
        <v>33</v>
      </c>
      <c r="J5" s="48" t="s">
        <v>34</v>
      </c>
      <c r="K5" s="49">
        <f>L5/170</f>
        <v>1</v>
      </c>
      <c r="L5" s="50">
        <f>SUM(M5:AN5)</f>
        <v>170</v>
      </c>
      <c r="M5" s="79">
        <v>11</v>
      </c>
      <c r="N5" s="80">
        <v>11</v>
      </c>
      <c r="O5" s="80"/>
      <c r="P5" s="80">
        <v>11</v>
      </c>
      <c r="Q5" s="80">
        <v>11</v>
      </c>
      <c r="R5" s="80"/>
      <c r="S5" s="79"/>
      <c r="T5" s="79">
        <v>11</v>
      </c>
      <c r="U5" s="80">
        <v>11</v>
      </c>
      <c r="V5" s="80"/>
      <c r="W5" s="80"/>
      <c r="X5" s="80">
        <v>11</v>
      </c>
      <c r="Y5" s="80">
        <v>11</v>
      </c>
      <c r="Z5" s="79"/>
      <c r="AA5" s="79"/>
      <c r="AB5" s="80">
        <v>11</v>
      </c>
      <c r="AC5" s="80">
        <v>11</v>
      </c>
      <c r="AD5" s="80"/>
      <c r="AE5" s="80"/>
      <c r="AF5" s="80">
        <v>12</v>
      </c>
      <c r="AG5" s="79">
        <v>12</v>
      </c>
      <c r="AH5" s="79"/>
      <c r="AI5" s="80"/>
      <c r="AJ5" s="80">
        <v>12</v>
      </c>
      <c r="AK5" s="80">
        <v>12</v>
      </c>
      <c r="AL5" s="80"/>
      <c r="AM5" s="80"/>
      <c r="AN5" s="79">
        <v>12</v>
      </c>
      <c r="AO5" s="81" t="s">
        <v>296</v>
      </c>
    </row>
    <row r="6" spans="1:43" x14ac:dyDescent="0.3">
      <c r="A6" s="46">
        <v>780</v>
      </c>
      <c r="B6" s="51">
        <v>2</v>
      </c>
      <c r="C6" s="48" t="s">
        <v>35</v>
      </c>
      <c r="D6" s="48" t="s">
        <v>36</v>
      </c>
      <c r="E6" s="48" t="s">
        <v>37</v>
      </c>
      <c r="F6" s="46" t="s">
        <v>38</v>
      </c>
      <c r="G6" s="46" t="s">
        <v>31</v>
      </c>
      <c r="H6" s="48" t="s">
        <v>39</v>
      </c>
      <c r="I6" s="46" t="s">
        <v>40</v>
      </c>
      <c r="J6" s="52" t="s">
        <v>41</v>
      </c>
      <c r="K6" s="49">
        <f t="shared" ref="K6:K68" si="0">L6/170</f>
        <v>1.9764705882352942</v>
      </c>
      <c r="L6" s="50">
        <f t="shared" ref="L6:L68" si="1">SUM(M6:AN6)</f>
        <v>336</v>
      </c>
      <c r="M6" s="79">
        <v>16</v>
      </c>
      <c r="N6" s="80">
        <v>16</v>
      </c>
      <c r="O6" s="80"/>
      <c r="P6" s="80">
        <v>16</v>
      </c>
      <c r="Q6" s="80">
        <v>16</v>
      </c>
      <c r="R6" s="80">
        <v>16</v>
      </c>
      <c r="S6" s="79">
        <v>16</v>
      </c>
      <c r="T6" s="79">
        <v>16</v>
      </c>
      <c r="U6" s="80"/>
      <c r="V6" s="80"/>
      <c r="W6" s="80">
        <v>16</v>
      </c>
      <c r="X6" s="80">
        <v>16</v>
      </c>
      <c r="Y6" s="80">
        <v>16</v>
      </c>
      <c r="Z6" s="79">
        <v>16</v>
      </c>
      <c r="AA6" s="79">
        <v>16</v>
      </c>
      <c r="AB6" s="80"/>
      <c r="AC6" s="80"/>
      <c r="AD6" s="80">
        <v>16</v>
      </c>
      <c r="AE6" s="80">
        <v>16</v>
      </c>
      <c r="AF6" s="80">
        <v>16</v>
      </c>
      <c r="AG6" s="79">
        <v>16</v>
      </c>
      <c r="AH6" s="79">
        <v>16</v>
      </c>
      <c r="AI6" s="80"/>
      <c r="AJ6" s="80"/>
      <c r="AK6" s="80">
        <v>16</v>
      </c>
      <c r="AL6" s="80">
        <v>16</v>
      </c>
      <c r="AM6" s="80">
        <v>16</v>
      </c>
      <c r="AN6" s="79">
        <v>16</v>
      </c>
      <c r="AO6" s="81" t="s">
        <v>296</v>
      </c>
    </row>
    <row r="7" spans="1:43" x14ac:dyDescent="0.3">
      <c r="A7" s="46">
        <v>2955</v>
      </c>
      <c r="B7" s="53">
        <v>3</v>
      </c>
      <c r="C7" s="48" t="s">
        <v>35</v>
      </c>
      <c r="D7" s="48" t="s">
        <v>36</v>
      </c>
      <c r="E7" s="48" t="s">
        <v>42</v>
      </c>
      <c r="F7" s="46" t="s">
        <v>30</v>
      </c>
      <c r="G7" s="46" t="s">
        <v>31</v>
      </c>
      <c r="H7" s="48" t="s">
        <v>43</v>
      </c>
      <c r="I7" s="46">
        <v>79829324253</v>
      </c>
      <c r="J7" s="48" t="s">
        <v>44</v>
      </c>
      <c r="K7" s="49">
        <f t="shared" si="0"/>
        <v>0.94117647058823528</v>
      </c>
      <c r="L7" s="50">
        <f t="shared" si="1"/>
        <v>160</v>
      </c>
      <c r="M7" s="79">
        <v>8</v>
      </c>
      <c r="N7" s="80">
        <v>8</v>
      </c>
      <c r="O7" s="80"/>
      <c r="P7" s="80"/>
      <c r="Q7" s="80">
        <v>8</v>
      </c>
      <c r="R7" s="80">
        <v>8</v>
      </c>
      <c r="S7" s="79">
        <v>8</v>
      </c>
      <c r="T7" s="79">
        <v>8</v>
      </c>
      <c r="U7" s="80">
        <v>8</v>
      </c>
      <c r="V7" s="80"/>
      <c r="W7" s="80"/>
      <c r="X7" s="80">
        <v>8</v>
      </c>
      <c r="Y7" s="80">
        <v>8</v>
      </c>
      <c r="Z7" s="79">
        <v>8</v>
      </c>
      <c r="AA7" s="79">
        <v>8</v>
      </c>
      <c r="AB7" s="80">
        <v>8</v>
      </c>
      <c r="AC7" s="80"/>
      <c r="AD7" s="80"/>
      <c r="AE7" s="80">
        <v>8</v>
      </c>
      <c r="AF7" s="80">
        <v>8</v>
      </c>
      <c r="AG7" s="79">
        <v>8</v>
      </c>
      <c r="AH7" s="79">
        <v>8</v>
      </c>
      <c r="AI7" s="80">
        <v>8</v>
      </c>
      <c r="AJ7" s="80"/>
      <c r="AK7" s="80"/>
      <c r="AL7" s="80">
        <v>8</v>
      </c>
      <c r="AM7" s="80">
        <v>8</v>
      </c>
      <c r="AN7" s="79">
        <v>8</v>
      </c>
      <c r="AO7" s="81" t="s">
        <v>296</v>
      </c>
    </row>
    <row r="8" spans="1:43" x14ac:dyDescent="0.3">
      <c r="A8" s="46">
        <v>582</v>
      </c>
      <c r="B8" s="47">
        <v>4</v>
      </c>
      <c r="C8" s="48" t="s">
        <v>27</v>
      </c>
      <c r="D8" s="48" t="s">
        <v>45</v>
      </c>
      <c r="E8" s="48" t="s">
        <v>46</v>
      </c>
      <c r="F8" s="46" t="s">
        <v>30</v>
      </c>
      <c r="G8" s="46" t="s">
        <v>31</v>
      </c>
      <c r="H8" s="48" t="s">
        <v>47</v>
      </c>
      <c r="I8" s="46" t="s">
        <v>48</v>
      </c>
      <c r="J8" s="48" t="s">
        <v>49</v>
      </c>
      <c r="K8" s="49">
        <f t="shared" si="0"/>
        <v>0.94117647058823528</v>
      </c>
      <c r="L8" s="50">
        <f t="shared" si="1"/>
        <v>160</v>
      </c>
      <c r="M8" s="79">
        <v>8</v>
      </c>
      <c r="N8" s="80">
        <v>8</v>
      </c>
      <c r="O8" s="80">
        <v>8</v>
      </c>
      <c r="P8" s="80"/>
      <c r="Q8" s="80"/>
      <c r="R8" s="80">
        <v>8</v>
      </c>
      <c r="S8" s="79">
        <v>8</v>
      </c>
      <c r="T8" s="79">
        <v>8</v>
      </c>
      <c r="U8" s="80">
        <v>8</v>
      </c>
      <c r="V8" s="80">
        <v>8</v>
      </c>
      <c r="W8" s="80"/>
      <c r="X8" s="80"/>
      <c r="Y8" s="80">
        <v>8</v>
      </c>
      <c r="Z8" s="79">
        <v>8</v>
      </c>
      <c r="AA8" s="79">
        <v>8</v>
      </c>
      <c r="AB8" s="80">
        <v>8</v>
      </c>
      <c r="AC8" s="80">
        <v>8</v>
      </c>
      <c r="AD8" s="80"/>
      <c r="AE8" s="80"/>
      <c r="AF8" s="80">
        <v>8</v>
      </c>
      <c r="AG8" s="79">
        <v>8</v>
      </c>
      <c r="AH8" s="79">
        <v>8</v>
      </c>
      <c r="AI8" s="80">
        <v>8</v>
      </c>
      <c r="AJ8" s="80">
        <v>8</v>
      </c>
      <c r="AK8" s="80"/>
      <c r="AL8" s="80"/>
      <c r="AM8" s="80">
        <v>8</v>
      </c>
      <c r="AN8" s="79">
        <v>8</v>
      </c>
      <c r="AO8" s="81"/>
    </row>
    <row r="9" spans="1:43" x14ac:dyDescent="0.3">
      <c r="A9" s="46">
        <v>3725</v>
      </c>
      <c r="B9" s="51">
        <v>5</v>
      </c>
      <c r="C9" s="48" t="s">
        <v>27</v>
      </c>
      <c r="D9" s="48" t="s">
        <v>45</v>
      </c>
      <c r="E9" s="48" t="s">
        <v>50</v>
      </c>
      <c r="F9" s="46" t="s">
        <v>30</v>
      </c>
      <c r="G9" s="46" t="s">
        <v>31</v>
      </c>
      <c r="H9" s="48" t="s">
        <v>51</v>
      </c>
      <c r="I9" s="46" t="s">
        <v>52</v>
      </c>
      <c r="J9" s="48" t="s">
        <v>53</v>
      </c>
      <c r="K9" s="49">
        <f t="shared" si="0"/>
        <v>0.94117647058823528</v>
      </c>
      <c r="L9" s="50">
        <f t="shared" si="1"/>
        <v>160</v>
      </c>
      <c r="M9" s="79">
        <v>8</v>
      </c>
      <c r="N9" s="80">
        <v>8</v>
      </c>
      <c r="O9" s="80">
        <v>8</v>
      </c>
      <c r="P9" s="80"/>
      <c r="Q9" s="80"/>
      <c r="R9" s="80">
        <v>8</v>
      </c>
      <c r="S9" s="79">
        <v>8</v>
      </c>
      <c r="T9" s="79">
        <v>8</v>
      </c>
      <c r="U9" s="80">
        <v>8</v>
      </c>
      <c r="V9" s="80">
        <v>8</v>
      </c>
      <c r="W9" s="80"/>
      <c r="X9" s="80"/>
      <c r="Y9" s="80">
        <v>8</v>
      </c>
      <c r="Z9" s="79">
        <v>8</v>
      </c>
      <c r="AA9" s="79">
        <v>8</v>
      </c>
      <c r="AB9" s="80">
        <v>8</v>
      </c>
      <c r="AC9" s="80">
        <v>8</v>
      </c>
      <c r="AD9" s="80"/>
      <c r="AE9" s="80"/>
      <c r="AF9" s="80">
        <v>8</v>
      </c>
      <c r="AG9" s="79">
        <v>8</v>
      </c>
      <c r="AH9" s="79">
        <v>8</v>
      </c>
      <c r="AI9" s="80">
        <v>8</v>
      </c>
      <c r="AJ9" s="80">
        <v>8</v>
      </c>
      <c r="AK9" s="80"/>
      <c r="AL9" s="80"/>
      <c r="AM9" s="80">
        <v>8</v>
      </c>
      <c r="AN9" s="79">
        <v>8</v>
      </c>
      <c r="AO9" s="81"/>
    </row>
    <row r="10" spans="1:43" x14ac:dyDescent="0.3">
      <c r="A10" s="46">
        <v>1038</v>
      </c>
      <c r="B10" s="53">
        <v>6</v>
      </c>
      <c r="C10" s="48" t="s">
        <v>27</v>
      </c>
      <c r="D10" s="48" t="s">
        <v>45</v>
      </c>
      <c r="E10" s="48" t="s">
        <v>54</v>
      </c>
      <c r="F10" s="46" t="s">
        <v>30</v>
      </c>
      <c r="G10" s="46" t="s">
        <v>31</v>
      </c>
      <c r="H10" s="48" t="s">
        <v>55</v>
      </c>
      <c r="I10" s="46" t="s">
        <v>56</v>
      </c>
      <c r="J10" s="48" t="s">
        <v>57</v>
      </c>
      <c r="K10" s="49">
        <f t="shared" si="0"/>
        <v>0.94117647058823528</v>
      </c>
      <c r="L10" s="50">
        <f t="shared" si="1"/>
        <v>160</v>
      </c>
      <c r="M10" s="79">
        <v>8</v>
      </c>
      <c r="N10" s="80">
        <v>8</v>
      </c>
      <c r="O10" s="80">
        <v>8</v>
      </c>
      <c r="P10" s="80"/>
      <c r="Q10" s="80"/>
      <c r="R10" s="80">
        <v>8</v>
      </c>
      <c r="S10" s="79">
        <v>8</v>
      </c>
      <c r="T10" s="79">
        <v>8</v>
      </c>
      <c r="U10" s="80">
        <v>8</v>
      </c>
      <c r="V10" s="80">
        <v>8</v>
      </c>
      <c r="W10" s="80"/>
      <c r="X10" s="80"/>
      <c r="Y10" s="80">
        <v>8</v>
      </c>
      <c r="Z10" s="79">
        <v>8</v>
      </c>
      <c r="AA10" s="79">
        <v>8</v>
      </c>
      <c r="AB10" s="80">
        <v>8</v>
      </c>
      <c r="AC10" s="80">
        <v>8</v>
      </c>
      <c r="AD10" s="80"/>
      <c r="AE10" s="80"/>
      <c r="AF10" s="80">
        <v>8</v>
      </c>
      <c r="AG10" s="79">
        <v>8</v>
      </c>
      <c r="AH10" s="79">
        <v>8</v>
      </c>
      <c r="AI10" s="80">
        <v>8</v>
      </c>
      <c r="AJ10" s="80">
        <v>8</v>
      </c>
      <c r="AK10" s="80"/>
      <c r="AL10" s="80"/>
      <c r="AM10" s="80">
        <v>8</v>
      </c>
      <c r="AN10" s="79">
        <v>8</v>
      </c>
      <c r="AO10" s="81"/>
    </row>
    <row r="11" spans="1:43" x14ac:dyDescent="0.3">
      <c r="A11" s="46">
        <v>2560</v>
      </c>
      <c r="B11" s="47">
        <v>7</v>
      </c>
      <c r="C11" s="48" t="s">
        <v>27</v>
      </c>
      <c r="D11" s="48" t="s">
        <v>58</v>
      </c>
      <c r="E11" s="48" t="s">
        <v>59</v>
      </c>
      <c r="F11" s="46" t="s">
        <v>30</v>
      </c>
      <c r="G11" s="46" t="s">
        <v>31</v>
      </c>
      <c r="H11" s="48" t="s">
        <v>60</v>
      </c>
      <c r="I11" s="46" t="s">
        <v>61</v>
      </c>
      <c r="J11" s="48" t="s">
        <v>62</v>
      </c>
      <c r="K11" s="49">
        <f t="shared" si="0"/>
        <v>0.94117647058823528</v>
      </c>
      <c r="L11" s="50">
        <f t="shared" si="1"/>
        <v>160</v>
      </c>
      <c r="M11" s="79"/>
      <c r="N11" s="80">
        <v>8</v>
      </c>
      <c r="O11" s="80">
        <v>8</v>
      </c>
      <c r="P11" s="80">
        <v>8</v>
      </c>
      <c r="Q11" s="80">
        <v>8</v>
      </c>
      <c r="R11" s="80">
        <v>8</v>
      </c>
      <c r="S11" s="79"/>
      <c r="T11" s="79"/>
      <c r="U11" s="80">
        <v>8</v>
      </c>
      <c r="V11" s="80">
        <v>8</v>
      </c>
      <c r="W11" s="80">
        <v>8</v>
      </c>
      <c r="X11" s="80">
        <v>8</v>
      </c>
      <c r="Y11" s="80">
        <v>8</v>
      </c>
      <c r="Z11" s="79"/>
      <c r="AA11" s="79"/>
      <c r="AB11" s="80">
        <v>8</v>
      </c>
      <c r="AC11" s="80">
        <v>8</v>
      </c>
      <c r="AD11" s="80">
        <v>8</v>
      </c>
      <c r="AE11" s="80">
        <v>8</v>
      </c>
      <c r="AF11" s="80">
        <v>8</v>
      </c>
      <c r="AG11" s="79"/>
      <c r="AH11" s="79"/>
      <c r="AI11" s="80">
        <v>8</v>
      </c>
      <c r="AJ11" s="80">
        <v>8</v>
      </c>
      <c r="AK11" s="80">
        <v>8</v>
      </c>
      <c r="AL11" s="80">
        <v>8</v>
      </c>
      <c r="AM11" s="80">
        <v>8</v>
      </c>
      <c r="AN11" s="79"/>
      <c r="AO11" s="81"/>
    </row>
    <row r="12" spans="1:43" x14ac:dyDescent="0.3">
      <c r="A12" s="46">
        <v>3104</v>
      </c>
      <c r="B12" s="51">
        <v>8</v>
      </c>
      <c r="C12" s="48" t="s">
        <v>27</v>
      </c>
      <c r="D12" s="48" t="s">
        <v>58</v>
      </c>
      <c r="E12" s="48" t="s">
        <v>63</v>
      </c>
      <c r="F12" s="46" t="s">
        <v>30</v>
      </c>
      <c r="G12" s="46" t="s">
        <v>31</v>
      </c>
      <c r="H12" s="48" t="s">
        <v>64</v>
      </c>
      <c r="I12" s="46" t="s">
        <v>65</v>
      </c>
      <c r="J12" s="48" t="s">
        <v>66</v>
      </c>
      <c r="K12" s="49">
        <f t="shared" si="0"/>
        <v>0.94117647058823528</v>
      </c>
      <c r="L12" s="50">
        <f t="shared" si="1"/>
        <v>160</v>
      </c>
      <c r="M12" s="79"/>
      <c r="N12" s="80">
        <v>8</v>
      </c>
      <c r="O12" s="80">
        <v>8</v>
      </c>
      <c r="P12" s="80">
        <v>8</v>
      </c>
      <c r="Q12" s="80">
        <v>8</v>
      </c>
      <c r="R12" s="80">
        <v>8</v>
      </c>
      <c r="S12" s="79"/>
      <c r="T12" s="79"/>
      <c r="U12" s="80">
        <v>8</v>
      </c>
      <c r="V12" s="80">
        <v>8</v>
      </c>
      <c r="W12" s="80">
        <v>8</v>
      </c>
      <c r="X12" s="80">
        <v>8</v>
      </c>
      <c r="Y12" s="80">
        <v>8</v>
      </c>
      <c r="Z12" s="79"/>
      <c r="AA12" s="79"/>
      <c r="AB12" s="80">
        <v>8</v>
      </c>
      <c r="AC12" s="80">
        <v>8</v>
      </c>
      <c r="AD12" s="80">
        <v>8</v>
      </c>
      <c r="AE12" s="80">
        <v>8</v>
      </c>
      <c r="AF12" s="80">
        <v>8</v>
      </c>
      <c r="AG12" s="79"/>
      <c r="AH12" s="79"/>
      <c r="AI12" s="80">
        <v>8</v>
      </c>
      <c r="AJ12" s="80">
        <v>8</v>
      </c>
      <c r="AK12" s="80">
        <v>8</v>
      </c>
      <c r="AL12" s="80">
        <v>8</v>
      </c>
      <c r="AM12" s="80">
        <v>8</v>
      </c>
      <c r="AN12" s="79"/>
      <c r="AO12" s="81"/>
    </row>
    <row r="13" spans="1:43" x14ac:dyDescent="0.3">
      <c r="A13" s="46">
        <v>4294</v>
      </c>
      <c r="B13" s="53">
        <v>9</v>
      </c>
      <c r="C13" s="48" t="s">
        <v>27</v>
      </c>
      <c r="D13" s="48" t="s">
        <v>58</v>
      </c>
      <c r="E13" s="48" t="s">
        <v>67</v>
      </c>
      <c r="F13" s="46" t="s">
        <v>30</v>
      </c>
      <c r="G13" s="46" t="s">
        <v>31</v>
      </c>
      <c r="H13" s="48" t="s">
        <v>68</v>
      </c>
      <c r="I13" s="46" t="s">
        <v>69</v>
      </c>
      <c r="J13" s="48" t="s">
        <v>70</v>
      </c>
      <c r="K13" s="49">
        <f t="shared" si="0"/>
        <v>0.9882352941176471</v>
      </c>
      <c r="L13" s="50">
        <f t="shared" si="1"/>
        <v>168</v>
      </c>
      <c r="M13" s="79">
        <v>12</v>
      </c>
      <c r="N13" s="80">
        <v>12</v>
      </c>
      <c r="O13" s="80"/>
      <c r="P13" s="80"/>
      <c r="Q13" s="80">
        <v>12</v>
      </c>
      <c r="R13" s="80">
        <v>12</v>
      </c>
      <c r="S13" s="79"/>
      <c r="T13" s="79"/>
      <c r="U13" s="80">
        <v>12</v>
      </c>
      <c r="V13" s="80">
        <v>12</v>
      </c>
      <c r="W13" s="80"/>
      <c r="X13" s="80"/>
      <c r="Y13" s="80">
        <v>12</v>
      </c>
      <c r="Z13" s="79">
        <v>12</v>
      </c>
      <c r="AA13" s="79"/>
      <c r="AB13" s="80"/>
      <c r="AC13" s="80">
        <v>12</v>
      </c>
      <c r="AD13" s="80">
        <v>12</v>
      </c>
      <c r="AE13" s="80"/>
      <c r="AF13" s="80"/>
      <c r="AG13" s="79">
        <v>12</v>
      </c>
      <c r="AH13" s="79">
        <v>12</v>
      </c>
      <c r="AI13" s="80"/>
      <c r="AJ13" s="80"/>
      <c r="AK13" s="80">
        <v>12</v>
      </c>
      <c r="AL13" s="80">
        <v>12</v>
      </c>
      <c r="AM13" s="80"/>
      <c r="AN13" s="79"/>
      <c r="AO13" s="81" t="s">
        <v>296</v>
      </c>
    </row>
    <row r="14" spans="1:43" x14ac:dyDescent="0.3">
      <c r="A14" s="46">
        <v>609</v>
      </c>
      <c r="B14" s="51">
        <v>11</v>
      </c>
      <c r="C14" s="28" t="s">
        <v>71</v>
      </c>
      <c r="D14" s="28" t="s">
        <v>72</v>
      </c>
      <c r="E14" s="48" t="s">
        <v>73</v>
      </c>
      <c r="F14" s="46" t="s">
        <v>30</v>
      </c>
      <c r="G14" s="46" t="s">
        <v>31</v>
      </c>
      <c r="H14" s="54" t="s">
        <v>74</v>
      </c>
      <c r="I14" s="46">
        <v>79829206170</v>
      </c>
      <c r="J14" s="48" t="s">
        <v>75</v>
      </c>
      <c r="K14" s="49">
        <f t="shared" si="0"/>
        <v>1</v>
      </c>
      <c r="L14" s="50">
        <f t="shared" si="1"/>
        <v>170</v>
      </c>
      <c r="M14" s="79"/>
      <c r="N14" s="80">
        <v>8</v>
      </c>
      <c r="O14" s="80">
        <v>8</v>
      </c>
      <c r="P14" s="80">
        <v>8</v>
      </c>
      <c r="Q14" s="80">
        <v>8</v>
      </c>
      <c r="R14" s="80">
        <v>8</v>
      </c>
      <c r="S14" s="79"/>
      <c r="T14" s="79"/>
      <c r="U14" s="80">
        <v>8</v>
      </c>
      <c r="V14" s="80">
        <v>8</v>
      </c>
      <c r="W14" s="80">
        <v>8</v>
      </c>
      <c r="X14" s="80">
        <v>8</v>
      </c>
      <c r="Y14" s="80">
        <v>8</v>
      </c>
      <c r="Z14" s="79">
        <v>5</v>
      </c>
      <c r="AA14" s="79">
        <v>5</v>
      </c>
      <c r="AB14" s="80">
        <v>8</v>
      </c>
      <c r="AC14" s="80">
        <v>8</v>
      </c>
      <c r="AD14" s="80">
        <v>8</v>
      </c>
      <c r="AE14" s="80">
        <v>8</v>
      </c>
      <c r="AF14" s="80">
        <v>8</v>
      </c>
      <c r="AG14" s="79"/>
      <c r="AH14" s="79"/>
      <c r="AI14" s="80">
        <v>8</v>
      </c>
      <c r="AJ14" s="80">
        <v>8</v>
      </c>
      <c r="AK14" s="80">
        <v>8</v>
      </c>
      <c r="AL14" s="80">
        <v>8</v>
      </c>
      <c r="AM14" s="80">
        <v>8</v>
      </c>
      <c r="AN14" s="79"/>
      <c r="AO14" s="81" t="s">
        <v>296</v>
      </c>
    </row>
    <row r="15" spans="1:43" x14ac:dyDescent="0.3">
      <c r="A15" s="46">
        <v>2516</v>
      </c>
      <c r="B15" s="47">
        <v>16</v>
      </c>
      <c r="C15" s="28" t="s">
        <v>35</v>
      </c>
      <c r="D15" s="28" t="s">
        <v>76</v>
      </c>
      <c r="E15" s="28" t="s">
        <v>77</v>
      </c>
      <c r="F15" s="46" t="s">
        <v>30</v>
      </c>
      <c r="G15" s="46" t="s">
        <v>31</v>
      </c>
      <c r="H15" s="48" t="s">
        <v>78</v>
      </c>
      <c r="I15" s="46" t="s">
        <v>79</v>
      </c>
      <c r="J15" s="53" t="s">
        <v>80</v>
      </c>
      <c r="K15" s="49">
        <f t="shared" si="0"/>
        <v>0.94117647058823528</v>
      </c>
      <c r="L15" s="50">
        <f t="shared" si="1"/>
        <v>160</v>
      </c>
      <c r="M15" s="79"/>
      <c r="N15" s="80">
        <v>8</v>
      </c>
      <c r="O15" s="80">
        <v>8</v>
      </c>
      <c r="P15" s="80">
        <v>8</v>
      </c>
      <c r="Q15" s="80">
        <v>8</v>
      </c>
      <c r="R15" s="80">
        <v>8</v>
      </c>
      <c r="S15" s="79"/>
      <c r="T15" s="79"/>
      <c r="U15" s="80">
        <v>8</v>
      </c>
      <c r="V15" s="80">
        <v>8</v>
      </c>
      <c r="W15" s="80">
        <v>8</v>
      </c>
      <c r="X15" s="80">
        <v>8</v>
      </c>
      <c r="Y15" s="80">
        <v>8</v>
      </c>
      <c r="Z15" s="79"/>
      <c r="AA15" s="79"/>
      <c r="AB15" s="80">
        <v>8</v>
      </c>
      <c r="AC15" s="80">
        <v>8</v>
      </c>
      <c r="AD15" s="80">
        <v>8</v>
      </c>
      <c r="AE15" s="80">
        <v>8</v>
      </c>
      <c r="AF15" s="80">
        <v>8</v>
      </c>
      <c r="AG15" s="79"/>
      <c r="AH15" s="79"/>
      <c r="AI15" s="80">
        <v>8</v>
      </c>
      <c r="AJ15" s="80">
        <v>8</v>
      </c>
      <c r="AK15" s="80">
        <v>8</v>
      </c>
      <c r="AL15" s="80">
        <v>8</v>
      </c>
      <c r="AM15" s="80">
        <v>8</v>
      </c>
      <c r="AN15" s="79"/>
      <c r="AO15" s="81" t="s">
        <v>296</v>
      </c>
    </row>
    <row r="16" spans="1:43" x14ac:dyDescent="0.3">
      <c r="A16" s="46">
        <v>4140</v>
      </c>
      <c r="B16" s="51">
        <v>17</v>
      </c>
      <c r="C16" s="28" t="s">
        <v>35</v>
      </c>
      <c r="D16" s="28" t="s">
        <v>76</v>
      </c>
      <c r="E16" s="28" t="s">
        <v>81</v>
      </c>
      <c r="F16" s="46" t="s">
        <v>30</v>
      </c>
      <c r="G16" s="46" t="s">
        <v>31</v>
      </c>
      <c r="H16" s="48" t="s">
        <v>82</v>
      </c>
      <c r="I16" s="53">
        <v>79504824559</v>
      </c>
      <c r="J16" s="53" t="s">
        <v>83</v>
      </c>
      <c r="K16" s="49">
        <f t="shared" si="0"/>
        <v>0.94117647058823528</v>
      </c>
      <c r="L16" s="50">
        <f t="shared" si="1"/>
        <v>160</v>
      </c>
      <c r="M16" s="79"/>
      <c r="N16" s="80">
        <v>8</v>
      </c>
      <c r="O16" s="80">
        <v>8</v>
      </c>
      <c r="P16" s="80">
        <v>8</v>
      </c>
      <c r="Q16" s="80">
        <v>8</v>
      </c>
      <c r="R16" s="80">
        <v>8</v>
      </c>
      <c r="S16" s="79"/>
      <c r="T16" s="79"/>
      <c r="U16" s="80">
        <v>8</v>
      </c>
      <c r="V16" s="80">
        <v>8</v>
      </c>
      <c r="W16" s="80">
        <v>8</v>
      </c>
      <c r="X16" s="80">
        <v>8</v>
      </c>
      <c r="Y16" s="80">
        <v>8</v>
      </c>
      <c r="Z16" s="79"/>
      <c r="AA16" s="79"/>
      <c r="AB16" s="80">
        <v>8</v>
      </c>
      <c r="AC16" s="80">
        <v>8</v>
      </c>
      <c r="AD16" s="80">
        <v>8</v>
      </c>
      <c r="AE16" s="80">
        <v>8</v>
      </c>
      <c r="AF16" s="80">
        <v>8</v>
      </c>
      <c r="AG16" s="79"/>
      <c r="AH16" s="79"/>
      <c r="AI16" s="80">
        <v>8</v>
      </c>
      <c r="AJ16" s="80">
        <v>8</v>
      </c>
      <c r="AK16" s="80">
        <v>8</v>
      </c>
      <c r="AL16" s="80">
        <v>8</v>
      </c>
      <c r="AM16" s="80">
        <v>8</v>
      </c>
      <c r="AN16" s="79"/>
      <c r="AO16" s="81" t="s">
        <v>296</v>
      </c>
    </row>
    <row r="17" spans="1:41" x14ac:dyDescent="0.3">
      <c r="A17" s="46">
        <v>4599</v>
      </c>
      <c r="B17" s="53">
        <v>18</v>
      </c>
      <c r="C17" s="28" t="s">
        <v>35</v>
      </c>
      <c r="D17" s="28" t="s">
        <v>76</v>
      </c>
      <c r="E17" s="28" t="s">
        <v>84</v>
      </c>
      <c r="F17" s="46" t="s">
        <v>30</v>
      </c>
      <c r="G17" s="46" t="s">
        <v>31</v>
      </c>
      <c r="H17" s="48" t="s">
        <v>85</v>
      </c>
      <c r="I17" s="53" t="s">
        <v>86</v>
      </c>
      <c r="J17" s="53" t="s">
        <v>87</v>
      </c>
      <c r="K17" s="49">
        <f t="shared" si="0"/>
        <v>0.94117647058823528</v>
      </c>
      <c r="L17" s="50">
        <f t="shared" si="1"/>
        <v>160</v>
      </c>
      <c r="M17" s="79"/>
      <c r="N17" s="80">
        <v>8</v>
      </c>
      <c r="O17" s="80">
        <v>8</v>
      </c>
      <c r="P17" s="80">
        <v>8</v>
      </c>
      <c r="Q17" s="80">
        <v>8</v>
      </c>
      <c r="R17" s="80">
        <v>8</v>
      </c>
      <c r="S17" s="79"/>
      <c r="T17" s="79"/>
      <c r="U17" s="80">
        <v>8</v>
      </c>
      <c r="V17" s="80">
        <v>8</v>
      </c>
      <c r="W17" s="80">
        <v>8</v>
      </c>
      <c r="X17" s="80">
        <v>8</v>
      </c>
      <c r="Y17" s="80">
        <v>8</v>
      </c>
      <c r="Z17" s="79"/>
      <c r="AA17" s="79"/>
      <c r="AB17" s="80">
        <v>8</v>
      </c>
      <c r="AC17" s="80">
        <v>8</v>
      </c>
      <c r="AD17" s="80">
        <v>8</v>
      </c>
      <c r="AE17" s="80">
        <v>8</v>
      </c>
      <c r="AF17" s="80">
        <v>8</v>
      </c>
      <c r="AG17" s="79"/>
      <c r="AH17" s="79"/>
      <c r="AI17" s="80">
        <v>8</v>
      </c>
      <c r="AJ17" s="80">
        <v>8</v>
      </c>
      <c r="AK17" s="80">
        <v>8</v>
      </c>
      <c r="AL17" s="80">
        <v>8</v>
      </c>
      <c r="AM17" s="80">
        <v>8</v>
      </c>
      <c r="AN17" s="79"/>
      <c r="AO17" s="81" t="s">
        <v>296</v>
      </c>
    </row>
    <row r="18" spans="1:41" x14ac:dyDescent="0.3">
      <c r="A18" s="46">
        <v>3986</v>
      </c>
      <c r="B18" s="47">
        <v>19</v>
      </c>
      <c r="C18" s="28" t="s">
        <v>35</v>
      </c>
      <c r="D18" s="28" t="s">
        <v>76</v>
      </c>
      <c r="E18" s="28" t="s">
        <v>88</v>
      </c>
      <c r="F18" s="46" t="s">
        <v>30</v>
      </c>
      <c r="G18" s="46" t="s">
        <v>31</v>
      </c>
      <c r="H18" s="48" t="s">
        <v>89</v>
      </c>
      <c r="I18" s="53" t="s">
        <v>90</v>
      </c>
      <c r="J18" s="53" t="s">
        <v>91</v>
      </c>
      <c r="K18" s="49">
        <f t="shared" si="0"/>
        <v>0.94117647058823528</v>
      </c>
      <c r="L18" s="50">
        <f t="shared" si="1"/>
        <v>160</v>
      </c>
      <c r="M18" s="79"/>
      <c r="N18" s="80">
        <v>8</v>
      </c>
      <c r="O18" s="80">
        <v>8</v>
      </c>
      <c r="P18" s="80">
        <v>8</v>
      </c>
      <c r="Q18" s="80">
        <v>8</v>
      </c>
      <c r="R18" s="80">
        <v>8</v>
      </c>
      <c r="S18" s="79"/>
      <c r="T18" s="79"/>
      <c r="U18" s="80">
        <v>8</v>
      </c>
      <c r="V18" s="80">
        <v>8</v>
      </c>
      <c r="W18" s="80">
        <v>8</v>
      </c>
      <c r="X18" s="80">
        <v>8</v>
      </c>
      <c r="Y18" s="80">
        <v>8</v>
      </c>
      <c r="Z18" s="79"/>
      <c r="AA18" s="79"/>
      <c r="AB18" s="80">
        <v>8</v>
      </c>
      <c r="AC18" s="80">
        <v>8</v>
      </c>
      <c r="AD18" s="80">
        <v>8</v>
      </c>
      <c r="AE18" s="80">
        <v>8</v>
      </c>
      <c r="AF18" s="80">
        <v>8</v>
      </c>
      <c r="AG18" s="79"/>
      <c r="AH18" s="79"/>
      <c r="AI18" s="80">
        <v>8</v>
      </c>
      <c r="AJ18" s="80">
        <v>8</v>
      </c>
      <c r="AK18" s="80">
        <v>8</v>
      </c>
      <c r="AL18" s="80">
        <v>8</v>
      </c>
      <c r="AM18" s="80">
        <v>8</v>
      </c>
      <c r="AN18" s="79"/>
      <c r="AO18" s="81" t="s">
        <v>296</v>
      </c>
    </row>
    <row r="19" spans="1:41" x14ac:dyDescent="0.3">
      <c r="A19" s="46">
        <v>1404</v>
      </c>
      <c r="B19" s="51">
        <v>20</v>
      </c>
      <c r="C19" s="48" t="s">
        <v>35</v>
      </c>
      <c r="D19" s="48" t="s">
        <v>92</v>
      </c>
      <c r="E19" s="48" t="s">
        <v>93</v>
      </c>
      <c r="F19" s="46" t="s">
        <v>30</v>
      </c>
      <c r="G19" s="46" t="s">
        <v>31</v>
      </c>
      <c r="H19" s="48" t="s">
        <v>94</v>
      </c>
      <c r="I19" s="46" t="s">
        <v>95</v>
      </c>
      <c r="J19" s="48" t="s">
        <v>96</v>
      </c>
      <c r="K19" s="49">
        <f t="shared" si="0"/>
        <v>0.9882352941176471</v>
      </c>
      <c r="L19" s="50">
        <f t="shared" si="1"/>
        <v>168</v>
      </c>
      <c r="M19" s="79">
        <v>8</v>
      </c>
      <c r="N19" s="80">
        <v>8</v>
      </c>
      <c r="O19" s="80"/>
      <c r="P19" s="80">
        <v>8</v>
      </c>
      <c r="Q19" s="80">
        <v>8</v>
      </c>
      <c r="R19" s="80">
        <v>8</v>
      </c>
      <c r="S19" s="79">
        <v>8</v>
      </c>
      <c r="T19" s="79">
        <v>8</v>
      </c>
      <c r="U19" s="80"/>
      <c r="V19" s="80"/>
      <c r="W19" s="80">
        <v>8</v>
      </c>
      <c r="X19" s="80">
        <v>8</v>
      </c>
      <c r="Y19" s="80">
        <v>8</v>
      </c>
      <c r="Z19" s="79">
        <v>8</v>
      </c>
      <c r="AA19" s="79">
        <v>8</v>
      </c>
      <c r="AB19" s="80"/>
      <c r="AC19" s="80"/>
      <c r="AD19" s="80">
        <v>8</v>
      </c>
      <c r="AE19" s="80">
        <v>8</v>
      </c>
      <c r="AF19" s="80">
        <v>8</v>
      </c>
      <c r="AG19" s="79">
        <v>8</v>
      </c>
      <c r="AH19" s="79">
        <v>8</v>
      </c>
      <c r="AI19" s="80"/>
      <c r="AJ19" s="80"/>
      <c r="AK19" s="80">
        <v>8</v>
      </c>
      <c r="AL19" s="80">
        <v>8</v>
      </c>
      <c r="AM19" s="80">
        <v>8</v>
      </c>
      <c r="AN19" s="79">
        <v>8</v>
      </c>
      <c r="AO19" s="81"/>
    </row>
    <row r="20" spans="1:41" x14ac:dyDescent="0.3">
      <c r="A20" s="46">
        <v>2400</v>
      </c>
      <c r="B20" s="53">
        <v>21</v>
      </c>
      <c r="C20" s="48" t="s">
        <v>35</v>
      </c>
      <c r="D20" s="48" t="s">
        <v>92</v>
      </c>
      <c r="E20" s="88" t="s">
        <v>97</v>
      </c>
      <c r="F20" s="46" t="s">
        <v>30</v>
      </c>
      <c r="G20" s="46" t="s">
        <v>31</v>
      </c>
      <c r="H20" s="48" t="s">
        <v>98</v>
      </c>
      <c r="I20" s="46" t="s">
        <v>99</v>
      </c>
      <c r="J20" s="48" t="s">
        <v>100</v>
      </c>
      <c r="K20" s="49">
        <f t="shared" si="0"/>
        <v>1.9294117647058824</v>
      </c>
      <c r="L20" s="50">
        <f t="shared" si="1"/>
        <v>328</v>
      </c>
      <c r="M20" s="79">
        <v>12</v>
      </c>
      <c r="N20" s="80">
        <v>12</v>
      </c>
      <c r="O20" s="80">
        <v>12</v>
      </c>
      <c r="P20" s="80">
        <v>12</v>
      </c>
      <c r="Q20" s="80">
        <v>12</v>
      </c>
      <c r="R20" s="80">
        <v>12</v>
      </c>
      <c r="S20" s="79">
        <v>12</v>
      </c>
      <c r="T20" s="79">
        <v>12</v>
      </c>
      <c r="U20" s="80">
        <v>12</v>
      </c>
      <c r="V20" s="80">
        <v>12</v>
      </c>
      <c r="W20" s="80">
        <v>12</v>
      </c>
      <c r="X20" s="80">
        <v>12</v>
      </c>
      <c r="Y20" s="80">
        <v>12</v>
      </c>
      <c r="Z20" s="79">
        <v>12</v>
      </c>
      <c r="AA20" s="79">
        <v>12</v>
      </c>
      <c r="AB20" s="80">
        <v>12</v>
      </c>
      <c r="AC20" s="80">
        <v>12</v>
      </c>
      <c r="AD20" s="80">
        <v>12</v>
      </c>
      <c r="AE20" s="80">
        <v>12</v>
      </c>
      <c r="AF20" s="80">
        <v>12</v>
      </c>
      <c r="AG20" s="79">
        <v>11</v>
      </c>
      <c r="AH20" s="79">
        <v>11</v>
      </c>
      <c r="AI20" s="80">
        <v>11</v>
      </c>
      <c r="AJ20" s="80">
        <v>11</v>
      </c>
      <c r="AK20" s="80">
        <v>11</v>
      </c>
      <c r="AL20" s="80">
        <v>11</v>
      </c>
      <c r="AM20" s="80">
        <v>11</v>
      </c>
      <c r="AN20" s="79">
        <v>11</v>
      </c>
      <c r="AO20" s="81" t="s">
        <v>302</v>
      </c>
    </row>
    <row r="21" spans="1:41" x14ac:dyDescent="0.3">
      <c r="A21" s="46">
        <v>1995</v>
      </c>
      <c r="B21" s="47">
        <v>22</v>
      </c>
      <c r="C21" s="48" t="s">
        <v>35</v>
      </c>
      <c r="D21" s="48" t="s">
        <v>92</v>
      </c>
      <c r="E21" s="48" t="s">
        <v>101</v>
      </c>
      <c r="F21" s="46" t="s">
        <v>30</v>
      </c>
      <c r="G21" s="46" t="s">
        <v>31</v>
      </c>
      <c r="H21" s="48" t="s">
        <v>102</v>
      </c>
      <c r="I21" s="46" t="s">
        <v>103</v>
      </c>
      <c r="J21" s="48" t="s">
        <v>104</v>
      </c>
      <c r="K21" s="49">
        <f t="shared" si="0"/>
        <v>0.49411764705882355</v>
      </c>
      <c r="L21" s="50">
        <f t="shared" si="1"/>
        <v>84</v>
      </c>
      <c r="M21" s="79">
        <v>4</v>
      </c>
      <c r="N21" s="80">
        <v>4</v>
      </c>
      <c r="O21" s="80"/>
      <c r="P21" s="80">
        <v>4</v>
      </c>
      <c r="Q21" s="80">
        <v>4</v>
      </c>
      <c r="R21" s="80">
        <v>4</v>
      </c>
      <c r="S21" s="79">
        <v>4</v>
      </c>
      <c r="T21" s="79">
        <v>4</v>
      </c>
      <c r="U21" s="80"/>
      <c r="V21" s="80"/>
      <c r="W21" s="80">
        <v>4</v>
      </c>
      <c r="X21" s="80">
        <v>4</v>
      </c>
      <c r="Y21" s="80">
        <v>4</v>
      </c>
      <c r="Z21" s="79">
        <v>4</v>
      </c>
      <c r="AA21" s="79">
        <v>4</v>
      </c>
      <c r="AB21" s="80"/>
      <c r="AC21" s="80"/>
      <c r="AD21" s="80">
        <v>4</v>
      </c>
      <c r="AE21" s="80">
        <v>4</v>
      </c>
      <c r="AF21" s="80">
        <v>4</v>
      </c>
      <c r="AG21" s="79">
        <v>4</v>
      </c>
      <c r="AH21" s="79">
        <v>4</v>
      </c>
      <c r="AI21" s="80"/>
      <c r="AJ21" s="80"/>
      <c r="AK21" s="80">
        <v>4</v>
      </c>
      <c r="AL21" s="80">
        <v>4</v>
      </c>
      <c r="AM21" s="80">
        <v>4</v>
      </c>
      <c r="AN21" s="79">
        <v>4</v>
      </c>
      <c r="AO21" s="81"/>
    </row>
    <row r="22" spans="1:41" x14ac:dyDescent="0.3">
      <c r="A22" s="46">
        <v>2451</v>
      </c>
      <c r="B22" s="51">
        <v>23</v>
      </c>
      <c r="C22" s="28" t="s">
        <v>27</v>
      </c>
      <c r="D22" s="28" t="s">
        <v>105</v>
      </c>
      <c r="E22" s="48" t="s">
        <v>106</v>
      </c>
      <c r="F22" s="46" t="s">
        <v>30</v>
      </c>
      <c r="G22" s="46" t="s">
        <v>31</v>
      </c>
      <c r="H22" s="48" t="s">
        <v>107</v>
      </c>
      <c r="I22" s="46" t="s">
        <v>108</v>
      </c>
      <c r="J22" s="48" t="s">
        <v>109</v>
      </c>
      <c r="K22" s="49">
        <f t="shared" si="0"/>
        <v>0.6588235294117647</v>
      </c>
      <c r="L22" s="50">
        <f t="shared" si="1"/>
        <v>112</v>
      </c>
      <c r="M22" s="79">
        <v>8</v>
      </c>
      <c r="N22" s="80">
        <v>8</v>
      </c>
      <c r="O22" s="80">
        <v>0</v>
      </c>
      <c r="P22" s="80">
        <v>0</v>
      </c>
      <c r="Q22" s="80">
        <v>8</v>
      </c>
      <c r="R22" s="80">
        <v>8</v>
      </c>
      <c r="S22" s="79">
        <v>0</v>
      </c>
      <c r="T22" s="79">
        <v>0</v>
      </c>
      <c r="U22" s="80">
        <v>8</v>
      </c>
      <c r="V22" s="80">
        <v>8</v>
      </c>
      <c r="W22" s="80">
        <v>0</v>
      </c>
      <c r="X22" s="80">
        <v>0</v>
      </c>
      <c r="Y22" s="80">
        <v>8</v>
      </c>
      <c r="Z22" s="79">
        <v>8</v>
      </c>
      <c r="AA22" s="79">
        <v>0</v>
      </c>
      <c r="AB22" s="80">
        <v>0</v>
      </c>
      <c r="AC22" s="80">
        <v>8</v>
      </c>
      <c r="AD22" s="80">
        <v>8</v>
      </c>
      <c r="AE22" s="80">
        <v>0</v>
      </c>
      <c r="AF22" s="80">
        <v>0</v>
      </c>
      <c r="AG22" s="79">
        <v>8</v>
      </c>
      <c r="AH22" s="79">
        <v>8</v>
      </c>
      <c r="AI22" s="80">
        <v>0</v>
      </c>
      <c r="AJ22" s="80">
        <v>0</v>
      </c>
      <c r="AK22" s="80">
        <v>8</v>
      </c>
      <c r="AL22" s="80">
        <v>8</v>
      </c>
      <c r="AM22" s="80">
        <v>0</v>
      </c>
      <c r="AN22" s="79">
        <v>0</v>
      </c>
      <c r="AO22" s="81"/>
    </row>
    <row r="23" spans="1:41" x14ac:dyDescent="0.3">
      <c r="A23" s="46">
        <v>2965</v>
      </c>
      <c r="B23" s="53">
        <v>24</v>
      </c>
      <c r="C23" s="28" t="s">
        <v>27</v>
      </c>
      <c r="D23" s="28" t="s">
        <v>105</v>
      </c>
      <c r="E23" s="48" t="s">
        <v>110</v>
      </c>
      <c r="F23" s="46" t="s">
        <v>30</v>
      </c>
      <c r="G23" s="46" t="s">
        <v>31</v>
      </c>
      <c r="H23" s="48" t="s">
        <v>111</v>
      </c>
      <c r="I23" s="46">
        <v>79829005455</v>
      </c>
      <c r="J23" s="48" t="s">
        <v>112</v>
      </c>
      <c r="K23" s="49">
        <f t="shared" si="0"/>
        <v>0.6588235294117647</v>
      </c>
      <c r="L23" s="50">
        <f t="shared" si="1"/>
        <v>112</v>
      </c>
      <c r="M23" s="79">
        <v>8</v>
      </c>
      <c r="N23" s="80">
        <v>8</v>
      </c>
      <c r="O23" s="80">
        <v>0</v>
      </c>
      <c r="P23" s="80">
        <v>0</v>
      </c>
      <c r="Q23" s="80">
        <v>8</v>
      </c>
      <c r="R23" s="80">
        <v>8</v>
      </c>
      <c r="S23" s="79">
        <v>0</v>
      </c>
      <c r="T23" s="79">
        <v>0</v>
      </c>
      <c r="U23" s="80">
        <v>8</v>
      </c>
      <c r="V23" s="80">
        <v>8</v>
      </c>
      <c r="W23" s="80">
        <v>0</v>
      </c>
      <c r="X23" s="80">
        <v>0</v>
      </c>
      <c r="Y23" s="80">
        <v>8</v>
      </c>
      <c r="Z23" s="79">
        <v>8</v>
      </c>
      <c r="AA23" s="79">
        <v>0</v>
      </c>
      <c r="AB23" s="80">
        <v>0</v>
      </c>
      <c r="AC23" s="80">
        <v>8</v>
      </c>
      <c r="AD23" s="80">
        <v>8</v>
      </c>
      <c r="AE23" s="80">
        <v>0</v>
      </c>
      <c r="AF23" s="80">
        <v>0</v>
      </c>
      <c r="AG23" s="79">
        <v>8</v>
      </c>
      <c r="AH23" s="79">
        <v>8</v>
      </c>
      <c r="AI23" s="80">
        <v>0</v>
      </c>
      <c r="AJ23" s="80">
        <v>0</v>
      </c>
      <c r="AK23" s="80">
        <v>8</v>
      </c>
      <c r="AL23" s="80">
        <v>8</v>
      </c>
      <c r="AM23" s="80">
        <v>0</v>
      </c>
      <c r="AN23" s="79">
        <v>0</v>
      </c>
      <c r="AO23" s="81"/>
    </row>
    <row r="24" spans="1:41" x14ac:dyDescent="0.3">
      <c r="A24" s="46">
        <v>1401</v>
      </c>
      <c r="B24" s="47">
        <v>25</v>
      </c>
      <c r="C24" s="28" t="s">
        <v>27</v>
      </c>
      <c r="D24" s="28" t="s">
        <v>105</v>
      </c>
      <c r="E24" s="48" t="s">
        <v>113</v>
      </c>
      <c r="F24" s="46" t="s">
        <v>30</v>
      </c>
      <c r="G24" s="46" t="s">
        <v>31</v>
      </c>
      <c r="H24" s="48" t="s">
        <v>114</v>
      </c>
      <c r="I24" s="46" t="s">
        <v>115</v>
      </c>
      <c r="J24" s="48" t="s">
        <v>116</v>
      </c>
      <c r="K24" s="49">
        <f t="shared" si="0"/>
        <v>0.6588235294117647</v>
      </c>
      <c r="L24" s="50">
        <f t="shared" si="1"/>
        <v>112</v>
      </c>
      <c r="M24" s="79">
        <v>8</v>
      </c>
      <c r="N24" s="80">
        <v>8</v>
      </c>
      <c r="O24" s="80">
        <v>0</v>
      </c>
      <c r="P24" s="80">
        <v>0</v>
      </c>
      <c r="Q24" s="80">
        <v>8</v>
      </c>
      <c r="R24" s="80">
        <v>8</v>
      </c>
      <c r="S24" s="79">
        <v>0</v>
      </c>
      <c r="T24" s="79">
        <v>0</v>
      </c>
      <c r="U24" s="80">
        <v>8</v>
      </c>
      <c r="V24" s="80">
        <v>8</v>
      </c>
      <c r="W24" s="80">
        <v>0</v>
      </c>
      <c r="X24" s="80">
        <v>0</v>
      </c>
      <c r="Y24" s="80">
        <v>8</v>
      </c>
      <c r="Z24" s="79">
        <v>8</v>
      </c>
      <c r="AA24" s="79">
        <v>0</v>
      </c>
      <c r="AB24" s="80">
        <v>0</v>
      </c>
      <c r="AC24" s="80">
        <v>8</v>
      </c>
      <c r="AD24" s="80">
        <v>8</v>
      </c>
      <c r="AE24" s="80">
        <v>0</v>
      </c>
      <c r="AF24" s="80">
        <v>0</v>
      </c>
      <c r="AG24" s="79">
        <v>8</v>
      </c>
      <c r="AH24" s="79">
        <v>8</v>
      </c>
      <c r="AI24" s="80">
        <v>0</v>
      </c>
      <c r="AJ24" s="80">
        <v>0</v>
      </c>
      <c r="AK24" s="80">
        <v>8</v>
      </c>
      <c r="AL24" s="80">
        <v>8</v>
      </c>
      <c r="AM24" s="80">
        <v>0</v>
      </c>
      <c r="AN24" s="79">
        <v>0</v>
      </c>
      <c r="AO24" s="81"/>
    </row>
    <row r="25" spans="1:41" x14ac:dyDescent="0.3">
      <c r="A25" s="46">
        <v>2693</v>
      </c>
      <c r="B25" s="51">
        <v>26</v>
      </c>
      <c r="C25" s="28" t="s">
        <v>27</v>
      </c>
      <c r="D25" s="28" t="s">
        <v>105</v>
      </c>
      <c r="E25" s="48" t="s">
        <v>117</v>
      </c>
      <c r="F25" s="46" t="s">
        <v>30</v>
      </c>
      <c r="G25" s="46" t="s">
        <v>31</v>
      </c>
      <c r="H25" s="48" t="s">
        <v>118</v>
      </c>
      <c r="I25" s="46">
        <v>79224878587</v>
      </c>
      <c r="J25" s="48" t="s">
        <v>119</v>
      </c>
      <c r="K25" s="49">
        <f t="shared" si="0"/>
        <v>0.6588235294117647</v>
      </c>
      <c r="L25" s="50">
        <f t="shared" si="1"/>
        <v>112</v>
      </c>
      <c r="M25" s="79">
        <v>8</v>
      </c>
      <c r="N25" s="80">
        <v>8</v>
      </c>
      <c r="O25" s="80">
        <v>0</v>
      </c>
      <c r="P25" s="80">
        <v>0</v>
      </c>
      <c r="Q25" s="80">
        <v>8</v>
      </c>
      <c r="R25" s="80">
        <v>8</v>
      </c>
      <c r="S25" s="79">
        <v>0</v>
      </c>
      <c r="T25" s="79">
        <v>0</v>
      </c>
      <c r="U25" s="80">
        <v>8</v>
      </c>
      <c r="V25" s="80">
        <v>8</v>
      </c>
      <c r="W25" s="80">
        <v>0</v>
      </c>
      <c r="X25" s="80">
        <v>0</v>
      </c>
      <c r="Y25" s="80">
        <v>8</v>
      </c>
      <c r="Z25" s="79">
        <v>8</v>
      </c>
      <c r="AA25" s="79">
        <v>0</v>
      </c>
      <c r="AB25" s="80">
        <v>0</v>
      </c>
      <c r="AC25" s="80">
        <v>8</v>
      </c>
      <c r="AD25" s="80">
        <v>8</v>
      </c>
      <c r="AE25" s="80">
        <v>0</v>
      </c>
      <c r="AF25" s="80">
        <v>0</v>
      </c>
      <c r="AG25" s="79">
        <v>8</v>
      </c>
      <c r="AH25" s="79">
        <v>8</v>
      </c>
      <c r="AI25" s="80">
        <v>0</v>
      </c>
      <c r="AJ25" s="80">
        <v>0</v>
      </c>
      <c r="AK25" s="80">
        <v>8</v>
      </c>
      <c r="AL25" s="80">
        <v>8</v>
      </c>
      <c r="AM25" s="80">
        <v>0</v>
      </c>
      <c r="AN25" s="79">
        <v>0</v>
      </c>
      <c r="AO25" s="81"/>
    </row>
    <row r="26" spans="1:41" x14ac:dyDescent="0.3">
      <c r="A26" s="46">
        <v>2906</v>
      </c>
      <c r="B26" s="53">
        <v>27</v>
      </c>
      <c r="C26" s="48" t="s">
        <v>71</v>
      </c>
      <c r="D26" s="48" t="s">
        <v>120</v>
      </c>
      <c r="E26" s="48" t="s">
        <v>121</v>
      </c>
      <c r="F26" s="46" t="s">
        <v>30</v>
      </c>
      <c r="G26" s="46" t="s">
        <v>31</v>
      </c>
      <c r="H26" s="55" t="s">
        <v>122</v>
      </c>
      <c r="I26" s="51" t="s">
        <v>123</v>
      </c>
      <c r="J26" s="56" t="s">
        <v>124</v>
      </c>
      <c r="K26" s="49">
        <f t="shared" si="0"/>
        <v>0.9882352941176471</v>
      </c>
      <c r="L26" s="50">
        <f t="shared" si="1"/>
        <v>168</v>
      </c>
      <c r="M26" s="79">
        <v>6</v>
      </c>
      <c r="N26" s="80">
        <v>6</v>
      </c>
      <c r="O26" s="80">
        <v>6</v>
      </c>
      <c r="P26" s="80">
        <v>6</v>
      </c>
      <c r="Q26" s="80">
        <v>6</v>
      </c>
      <c r="R26" s="80">
        <v>6</v>
      </c>
      <c r="S26" s="79">
        <v>6</v>
      </c>
      <c r="T26" s="79">
        <v>6</v>
      </c>
      <c r="U26" s="80">
        <v>6</v>
      </c>
      <c r="V26" s="80">
        <v>6</v>
      </c>
      <c r="W26" s="80">
        <v>6</v>
      </c>
      <c r="X26" s="80">
        <v>6</v>
      </c>
      <c r="Y26" s="80">
        <v>6</v>
      </c>
      <c r="Z26" s="79">
        <v>6</v>
      </c>
      <c r="AA26" s="79">
        <v>6</v>
      </c>
      <c r="AB26" s="80">
        <v>6</v>
      </c>
      <c r="AC26" s="80">
        <v>6</v>
      </c>
      <c r="AD26" s="80">
        <v>6</v>
      </c>
      <c r="AE26" s="80">
        <v>6</v>
      </c>
      <c r="AF26" s="80">
        <v>6</v>
      </c>
      <c r="AG26" s="79">
        <v>6</v>
      </c>
      <c r="AH26" s="79">
        <v>6</v>
      </c>
      <c r="AI26" s="80">
        <v>6</v>
      </c>
      <c r="AJ26" s="80">
        <v>6</v>
      </c>
      <c r="AK26" s="80">
        <v>6</v>
      </c>
      <c r="AL26" s="80">
        <v>6</v>
      </c>
      <c r="AM26" s="80">
        <v>6</v>
      </c>
      <c r="AN26" s="79">
        <v>6</v>
      </c>
      <c r="AO26" s="81"/>
    </row>
    <row r="27" spans="1:41" x14ac:dyDescent="0.3">
      <c r="A27" s="46">
        <v>3276</v>
      </c>
      <c r="B27" s="47">
        <v>28</v>
      </c>
      <c r="C27" s="28" t="s">
        <v>71</v>
      </c>
      <c r="D27" s="28" t="s">
        <v>120</v>
      </c>
      <c r="E27" s="28" t="s">
        <v>125</v>
      </c>
      <c r="F27" s="46" t="s">
        <v>30</v>
      </c>
      <c r="G27" s="46" t="s">
        <v>31</v>
      </c>
      <c r="H27" s="57" t="s">
        <v>126</v>
      </c>
      <c r="I27" s="53" t="s">
        <v>127</v>
      </c>
      <c r="J27" s="57" t="s">
        <v>128</v>
      </c>
      <c r="K27" s="49">
        <f t="shared" si="0"/>
        <v>0.9882352941176471</v>
      </c>
      <c r="L27" s="50">
        <f t="shared" si="1"/>
        <v>168</v>
      </c>
      <c r="M27" s="79">
        <v>6</v>
      </c>
      <c r="N27" s="80">
        <v>6</v>
      </c>
      <c r="O27" s="80">
        <v>6</v>
      </c>
      <c r="P27" s="80">
        <v>6</v>
      </c>
      <c r="Q27" s="80">
        <v>6</v>
      </c>
      <c r="R27" s="80">
        <v>6</v>
      </c>
      <c r="S27" s="79">
        <v>6</v>
      </c>
      <c r="T27" s="79">
        <v>6</v>
      </c>
      <c r="U27" s="80">
        <v>6</v>
      </c>
      <c r="V27" s="80">
        <v>6</v>
      </c>
      <c r="W27" s="80">
        <v>6</v>
      </c>
      <c r="X27" s="80">
        <v>6</v>
      </c>
      <c r="Y27" s="80">
        <v>6</v>
      </c>
      <c r="Z27" s="79">
        <v>6</v>
      </c>
      <c r="AA27" s="79">
        <v>6</v>
      </c>
      <c r="AB27" s="80">
        <v>6</v>
      </c>
      <c r="AC27" s="80">
        <v>6</v>
      </c>
      <c r="AD27" s="80">
        <v>6</v>
      </c>
      <c r="AE27" s="80">
        <v>6</v>
      </c>
      <c r="AF27" s="80">
        <v>6</v>
      </c>
      <c r="AG27" s="79">
        <v>6</v>
      </c>
      <c r="AH27" s="79">
        <v>6</v>
      </c>
      <c r="AI27" s="80">
        <v>6</v>
      </c>
      <c r="AJ27" s="80">
        <v>6</v>
      </c>
      <c r="AK27" s="80">
        <v>6</v>
      </c>
      <c r="AL27" s="80">
        <v>6</v>
      </c>
      <c r="AM27" s="80">
        <v>6</v>
      </c>
      <c r="AN27" s="79">
        <v>6</v>
      </c>
      <c r="AO27" s="81"/>
    </row>
    <row r="28" spans="1:41" x14ac:dyDescent="0.3">
      <c r="A28" s="46">
        <v>2623</v>
      </c>
      <c r="B28" s="51">
        <v>29</v>
      </c>
      <c r="C28" s="28" t="s">
        <v>71</v>
      </c>
      <c r="D28" s="28" t="s">
        <v>120</v>
      </c>
      <c r="E28" s="28" t="s">
        <v>129</v>
      </c>
      <c r="F28" s="46" t="s">
        <v>30</v>
      </c>
      <c r="G28" s="46" t="s">
        <v>31</v>
      </c>
      <c r="H28" s="57" t="s">
        <v>130</v>
      </c>
      <c r="I28" s="53" t="s">
        <v>131</v>
      </c>
      <c r="J28" s="57" t="s">
        <v>132</v>
      </c>
      <c r="K28" s="49">
        <f t="shared" si="0"/>
        <v>0.9882352941176471</v>
      </c>
      <c r="L28" s="50">
        <f t="shared" si="1"/>
        <v>168</v>
      </c>
      <c r="M28" s="79">
        <v>6</v>
      </c>
      <c r="N28" s="80">
        <v>6</v>
      </c>
      <c r="O28" s="80">
        <v>6</v>
      </c>
      <c r="P28" s="80">
        <v>6</v>
      </c>
      <c r="Q28" s="80">
        <v>6</v>
      </c>
      <c r="R28" s="80">
        <v>6</v>
      </c>
      <c r="S28" s="79">
        <v>6</v>
      </c>
      <c r="T28" s="79">
        <v>6</v>
      </c>
      <c r="U28" s="80">
        <v>6</v>
      </c>
      <c r="V28" s="80">
        <v>6</v>
      </c>
      <c r="W28" s="80">
        <v>6</v>
      </c>
      <c r="X28" s="80">
        <v>6</v>
      </c>
      <c r="Y28" s="80">
        <v>6</v>
      </c>
      <c r="Z28" s="79">
        <v>6</v>
      </c>
      <c r="AA28" s="79">
        <v>6</v>
      </c>
      <c r="AB28" s="80">
        <v>6</v>
      </c>
      <c r="AC28" s="80">
        <v>6</v>
      </c>
      <c r="AD28" s="80">
        <v>6</v>
      </c>
      <c r="AE28" s="80">
        <v>6</v>
      </c>
      <c r="AF28" s="80">
        <v>6</v>
      </c>
      <c r="AG28" s="79">
        <v>6</v>
      </c>
      <c r="AH28" s="79">
        <v>6</v>
      </c>
      <c r="AI28" s="80">
        <v>6</v>
      </c>
      <c r="AJ28" s="80">
        <v>6</v>
      </c>
      <c r="AK28" s="80">
        <v>6</v>
      </c>
      <c r="AL28" s="80">
        <v>6</v>
      </c>
      <c r="AM28" s="80">
        <v>6</v>
      </c>
      <c r="AN28" s="79">
        <v>6</v>
      </c>
      <c r="AO28" s="81"/>
    </row>
    <row r="29" spans="1:41" x14ac:dyDescent="0.3">
      <c r="A29" s="46">
        <v>654</v>
      </c>
      <c r="B29" s="53">
        <v>30</v>
      </c>
      <c r="C29" s="28" t="s">
        <v>71</v>
      </c>
      <c r="D29" s="28" t="s">
        <v>120</v>
      </c>
      <c r="E29" s="28" t="s">
        <v>133</v>
      </c>
      <c r="F29" s="46" t="s">
        <v>30</v>
      </c>
      <c r="G29" s="46" t="s">
        <v>31</v>
      </c>
      <c r="H29" s="57" t="s">
        <v>134</v>
      </c>
      <c r="I29" s="53" t="s">
        <v>135</v>
      </c>
      <c r="J29" s="57" t="s">
        <v>136</v>
      </c>
      <c r="K29" s="49">
        <f t="shared" si="0"/>
        <v>0.61176470588235299</v>
      </c>
      <c r="L29" s="50">
        <f t="shared" si="1"/>
        <v>104</v>
      </c>
      <c r="M29" s="79">
        <v>8</v>
      </c>
      <c r="N29" s="80">
        <v>8</v>
      </c>
      <c r="O29" s="80">
        <v>8</v>
      </c>
      <c r="P29" s="80">
        <v>8</v>
      </c>
      <c r="Q29" s="80">
        <v>8</v>
      </c>
      <c r="R29" s="80">
        <v>8</v>
      </c>
      <c r="S29" s="79">
        <v>8</v>
      </c>
      <c r="T29" s="79">
        <v>8</v>
      </c>
      <c r="U29" s="80"/>
      <c r="V29" s="80"/>
      <c r="W29" s="80"/>
      <c r="X29" s="80"/>
      <c r="Y29" s="80"/>
      <c r="Z29" s="79"/>
      <c r="AA29" s="79"/>
      <c r="AB29" s="80"/>
      <c r="AC29" s="80"/>
      <c r="AD29" s="80"/>
      <c r="AE29" s="80"/>
      <c r="AF29" s="80"/>
      <c r="AG29" s="79"/>
      <c r="AH29" s="79"/>
      <c r="AI29" s="80"/>
      <c r="AJ29" s="80">
        <v>8</v>
      </c>
      <c r="AK29" s="80">
        <v>8</v>
      </c>
      <c r="AL29" s="80">
        <v>8</v>
      </c>
      <c r="AM29" s="80">
        <v>8</v>
      </c>
      <c r="AN29" s="79">
        <v>8</v>
      </c>
      <c r="AO29" s="81"/>
    </row>
    <row r="30" spans="1:41" x14ac:dyDescent="0.3">
      <c r="A30" s="46">
        <v>1614</v>
      </c>
      <c r="B30" s="47">
        <v>31</v>
      </c>
      <c r="C30" s="28" t="s">
        <v>71</v>
      </c>
      <c r="D30" s="28" t="s">
        <v>120</v>
      </c>
      <c r="E30" s="28" t="s">
        <v>137</v>
      </c>
      <c r="F30" s="46" t="s">
        <v>30</v>
      </c>
      <c r="G30" s="46" t="s">
        <v>31</v>
      </c>
      <c r="H30" s="57" t="s">
        <v>138</v>
      </c>
      <c r="I30" s="53" t="s">
        <v>139</v>
      </c>
      <c r="J30" s="57" t="s">
        <v>140</v>
      </c>
      <c r="K30" s="49">
        <f t="shared" si="0"/>
        <v>0.9882352941176471</v>
      </c>
      <c r="L30" s="50">
        <f t="shared" si="1"/>
        <v>168</v>
      </c>
      <c r="M30" s="79">
        <v>6</v>
      </c>
      <c r="N30" s="80">
        <v>6</v>
      </c>
      <c r="O30" s="80">
        <v>6</v>
      </c>
      <c r="P30" s="80">
        <v>6</v>
      </c>
      <c r="Q30" s="80">
        <v>6</v>
      </c>
      <c r="R30" s="80">
        <v>6</v>
      </c>
      <c r="S30" s="79">
        <v>6</v>
      </c>
      <c r="T30" s="79">
        <v>6</v>
      </c>
      <c r="U30" s="80">
        <v>6</v>
      </c>
      <c r="V30" s="80">
        <v>6</v>
      </c>
      <c r="W30" s="80">
        <v>6</v>
      </c>
      <c r="X30" s="80">
        <v>6</v>
      </c>
      <c r="Y30" s="80">
        <v>6</v>
      </c>
      <c r="Z30" s="79">
        <v>6</v>
      </c>
      <c r="AA30" s="79">
        <v>6</v>
      </c>
      <c r="AB30" s="80">
        <v>6</v>
      </c>
      <c r="AC30" s="80">
        <v>6</v>
      </c>
      <c r="AD30" s="80">
        <v>6</v>
      </c>
      <c r="AE30" s="80">
        <v>6</v>
      </c>
      <c r="AF30" s="80">
        <v>6</v>
      </c>
      <c r="AG30" s="79">
        <v>6</v>
      </c>
      <c r="AH30" s="79">
        <v>6</v>
      </c>
      <c r="AI30" s="80">
        <v>6</v>
      </c>
      <c r="AJ30" s="80">
        <v>6</v>
      </c>
      <c r="AK30" s="80">
        <v>6</v>
      </c>
      <c r="AL30" s="80">
        <v>6</v>
      </c>
      <c r="AM30" s="80">
        <v>6</v>
      </c>
      <c r="AN30" s="79">
        <v>6</v>
      </c>
      <c r="AO30" s="81"/>
    </row>
    <row r="31" spans="1:41" x14ac:dyDescent="0.3">
      <c r="A31" s="46">
        <v>3446</v>
      </c>
      <c r="B31" s="51">
        <v>32</v>
      </c>
      <c r="C31" s="48" t="s">
        <v>27</v>
      </c>
      <c r="D31" s="48" t="s">
        <v>141</v>
      </c>
      <c r="E31" s="48" t="s">
        <v>142</v>
      </c>
      <c r="F31" s="46" t="s">
        <v>30</v>
      </c>
      <c r="G31" s="46" t="s">
        <v>31</v>
      </c>
      <c r="H31" s="48" t="s">
        <v>143</v>
      </c>
      <c r="I31" s="46" t="s">
        <v>144</v>
      </c>
      <c r="J31" s="48" t="s">
        <v>145</v>
      </c>
      <c r="K31" s="49">
        <f t="shared" si="0"/>
        <v>0.9882352941176471</v>
      </c>
      <c r="L31" s="50">
        <f t="shared" si="1"/>
        <v>168</v>
      </c>
      <c r="M31" s="79"/>
      <c r="N31" s="80"/>
      <c r="O31" s="80">
        <v>12</v>
      </c>
      <c r="P31" s="80">
        <v>12</v>
      </c>
      <c r="Q31" s="80"/>
      <c r="R31" s="80"/>
      <c r="S31" s="79">
        <v>12</v>
      </c>
      <c r="T31" s="79">
        <v>12</v>
      </c>
      <c r="U31" s="80"/>
      <c r="V31" s="80"/>
      <c r="W31" s="80">
        <v>12</v>
      </c>
      <c r="X31" s="80">
        <v>12</v>
      </c>
      <c r="Y31" s="80"/>
      <c r="Z31" s="79"/>
      <c r="AA31" s="79">
        <v>12</v>
      </c>
      <c r="AB31" s="80">
        <v>12</v>
      </c>
      <c r="AC31" s="80"/>
      <c r="AD31" s="80"/>
      <c r="AE31" s="80">
        <v>12</v>
      </c>
      <c r="AF31" s="80">
        <v>12</v>
      </c>
      <c r="AG31" s="79"/>
      <c r="AH31" s="79"/>
      <c r="AI31" s="80">
        <v>12</v>
      </c>
      <c r="AJ31" s="80">
        <v>12</v>
      </c>
      <c r="AK31" s="80"/>
      <c r="AL31" s="80"/>
      <c r="AM31" s="80">
        <v>12</v>
      </c>
      <c r="AN31" s="79">
        <v>12</v>
      </c>
      <c r="AO31" s="81"/>
    </row>
    <row r="32" spans="1:41" x14ac:dyDescent="0.3">
      <c r="A32" s="46">
        <v>2129</v>
      </c>
      <c r="B32" s="53">
        <v>33</v>
      </c>
      <c r="C32" s="48" t="s">
        <v>27</v>
      </c>
      <c r="D32" s="48" t="s">
        <v>141</v>
      </c>
      <c r="E32" s="48" t="s">
        <v>146</v>
      </c>
      <c r="F32" s="46" t="s">
        <v>30</v>
      </c>
      <c r="G32" s="46" t="s">
        <v>31</v>
      </c>
      <c r="H32" s="48" t="s">
        <v>147</v>
      </c>
      <c r="I32" s="46" t="s">
        <v>148</v>
      </c>
      <c r="J32" s="48" t="s">
        <v>149</v>
      </c>
      <c r="K32" s="49">
        <f t="shared" si="0"/>
        <v>0.9882352941176471</v>
      </c>
      <c r="L32" s="50">
        <f t="shared" si="1"/>
        <v>168</v>
      </c>
      <c r="M32" s="79"/>
      <c r="N32" s="80"/>
      <c r="O32" s="80">
        <v>12</v>
      </c>
      <c r="P32" s="80">
        <v>12</v>
      </c>
      <c r="Q32" s="80"/>
      <c r="R32" s="80"/>
      <c r="S32" s="79">
        <v>12</v>
      </c>
      <c r="T32" s="79">
        <v>12</v>
      </c>
      <c r="U32" s="80"/>
      <c r="V32" s="80"/>
      <c r="W32" s="80">
        <v>12</v>
      </c>
      <c r="X32" s="80">
        <v>12</v>
      </c>
      <c r="Y32" s="80"/>
      <c r="Z32" s="79"/>
      <c r="AA32" s="79">
        <v>12</v>
      </c>
      <c r="AB32" s="80">
        <v>12</v>
      </c>
      <c r="AC32" s="80"/>
      <c r="AD32" s="80"/>
      <c r="AE32" s="80">
        <v>12</v>
      </c>
      <c r="AF32" s="80">
        <v>12</v>
      </c>
      <c r="AG32" s="79"/>
      <c r="AH32" s="79"/>
      <c r="AI32" s="80">
        <v>12</v>
      </c>
      <c r="AJ32" s="80">
        <v>12</v>
      </c>
      <c r="AK32" s="80"/>
      <c r="AL32" s="80"/>
      <c r="AM32" s="80">
        <v>12</v>
      </c>
      <c r="AN32" s="79">
        <v>12</v>
      </c>
      <c r="AO32" s="81"/>
    </row>
    <row r="33" spans="1:41" x14ac:dyDescent="0.3">
      <c r="A33" s="46">
        <v>3195</v>
      </c>
      <c r="B33" s="47">
        <v>34</v>
      </c>
      <c r="C33" s="48" t="s">
        <v>27</v>
      </c>
      <c r="D33" s="48" t="s">
        <v>141</v>
      </c>
      <c r="E33" s="48" t="s">
        <v>150</v>
      </c>
      <c r="F33" s="46" t="s">
        <v>30</v>
      </c>
      <c r="G33" s="46" t="s">
        <v>31</v>
      </c>
      <c r="H33" s="48" t="s">
        <v>151</v>
      </c>
      <c r="I33" s="46" t="s">
        <v>152</v>
      </c>
      <c r="J33" s="48" t="s">
        <v>153</v>
      </c>
      <c r="K33" s="49">
        <f t="shared" si="0"/>
        <v>0.9882352941176471</v>
      </c>
      <c r="L33" s="50">
        <f t="shared" si="1"/>
        <v>168</v>
      </c>
      <c r="M33" s="79"/>
      <c r="N33" s="80"/>
      <c r="O33" s="80">
        <v>12</v>
      </c>
      <c r="P33" s="80">
        <v>12</v>
      </c>
      <c r="Q33" s="80"/>
      <c r="R33" s="80"/>
      <c r="S33" s="79">
        <v>12</v>
      </c>
      <c r="T33" s="79">
        <v>12</v>
      </c>
      <c r="U33" s="80"/>
      <c r="V33" s="80"/>
      <c r="W33" s="80">
        <v>12</v>
      </c>
      <c r="X33" s="80">
        <v>12</v>
      </c>
      <c r="Y33" s="80"/>
      <c r="Z33" s="79"/>
      <c r="AA33" s="79">
        <v>12</v>
      </c>
      <c r="AB33" s="80">
        <v>12</v>
      </c>
      <c r="AC33" s="80"/>
      <c r="AD33" s="80"/>
      <c r="AE33" s="80">
        <v>12</v>
      </c>
      <c r="AF33" s="80">
        <v>12</v>
      </c>
      <c r="AG33" s="79"/>
      <c r="AH33" s="79"/>
      <c r="AI33" s="80">
        <v>12</v>
      </c>
      <c r="AJ33" s="80">
        <v>12</v>
      </c>
      <c r="AK33" s="80"/>
      <c r="AL33" s="80"/>
      <c r="AM33" s="80">
        <v>12</v>
      </c>
      <c r="AN33" s="79">
        <v>12</v>
      </c>
      <c r="AO33" s="81"/>
    </row>
    <row r="34" spans="1:41" x14ac:dyDescent="0.3">
      <c r="A34" s="46">
        <v>957</v>
      </c>
      <c r="B34" s="51">
        <v>35</v>
      </c>
      <c r="C34" s="48" t="s">
        <v>27</v>
      </c>
      <c r="D34" s="48" t="s">
        <v>141</v>
      </c>
      <c r="E34" s="48" t="s">
        <v>154</v>
      </c>
      <c r="F34" s="46" t="s">
        <v>30</v>
      </c>
      <c r="G34" s="46" t="s">
        <v>31</v>
      </c>
      <c r="H34" s="48" t="s">
        <v>155</v>
      </c>
      <c r="I34" s="46" t="s">
        <v>156</v>
      </c>
      <c r="J34" s="48" t="s">
        <v>157</v>
      </c>
      <c r="K34" s="49">
        <f t="shared" si="0"/>
        <v>0.9882352941176471</v>
      </c>
      <c r="L34" s="50">
        <f t="shared" si="1"/>
        <v>168</v>
      </c>
      <c r="M34" s="79"/>
      <c r="N34" s="80"/>
      <c r="O34" s="80">
        <v>12</v>
      </c>
      <c r="P34" s="80">
        <v>12</v>
      </c>
      <c r="Q34" s="80"/>
      <c r="R34" s="80"/>
      <c r="S34" s="79">
        <v>12</v>
      </c>
      <c r="T34" s="79">
        <v>12</v>
      </c>
      <c r="U34" s="80"/>
      <c r="V34" s="80"/>
      <c r="W34" s="80">
        <v>12</v>
      </c>
      <c r="X34" s="80">
        <v>12</v>
      </c>
      <c r="Y34" s="80"/>
      <c r="Z34" s="79"/>
      <c r="AA34" s="79">
        <v>12</v>
      </c>
      <c r="AB34" s="80">
        <v>12</v>
      </c>
      <c r="AC34" s="80"/>
      <c r="AD34" s="80"/>
      <c r="AE34" s="80">
        <v>12</v>
      </c>
      <c r="AF34" s="80">
        <v>12</v>
      </c>
      <c r="AG34" s="79"/>
      <c r="AH34" s="79"/>
      <c r="AI34" s="80">
        <v>12</v>
      </c>
      <c r="AJ34" s="80">
        <v>12</v>
      </c>
      <c r="AK34" s="80"/>
      <c r="AL34" s="80"/>
      <c r="AM34" s="80">
        <v>12</v>
      </c>
      <c r="AN34" s="79">
        <v>12</v>
      </c>
      <c r="AO34" s="81"/>
    </row>
    <row r="35" spans="1:41" x14ac:dyDescent="0.3">
      <c r="A35" s="46">
        <v>3043</v>
      </c>
      <c r="B35" s="53">
        <v>36</v>
      </c>
      <c r="C35" s="48" t="s">
        <v>27</v>
      </c>
      <c r="D35" s="48" t="s">
        <v>141</v>
      </c>
      <c r="E35" s="48" t="s">
        <v>158</v>
      </c>
      <c r="F35" s="46" t="s">
        <v>30</v>
      </c>
      <c r="G35" s="46" t="s">
        <v>31</v>
      </c>
      <c r="H35" s="48" t="s">
        <v>159</v>
      </c>
      <c r="I35" s="46" t="s">
        <v>160</v>
      </c>
      <c r="J35" s="48" t="s">
        <v>161</v>
      </c>
      <c r="K35" s="49">
        <f t="shared" si="0"/>
        <v>0.9882352941176471</v>
      </c>
      <c r="L35" s="50">
        <f t="shared" si="1"/>
        <v>168</v>
      </c>
      <c r="M35" s="79"/>
      <c r="N35" s="80"/>
      <c r="O35" s="80">
        <v>12</v>
      </c>
      <c r="P35" s="80">
        <v>12</v>
      </c>
      <c r="Q35" s="80"/>
      <c r="R35" s="80"/>
      <c r="S35" s="79">
        <v>12</v>
      </c>
      <c r="T35" s="79">
        <v>12</v>
      </c>
      <c r="U35" s="80"/>
      <c r="V35" s="80"/>
      <c r="W35" s="80">
        <v>12</v>
      </c>
      <c r="X35" s="80">
        <v>12</v>
      </c>
      <c r="Y35" s="80"/>
      <c r="Z35" s="79"/>
      <c r="AA35" s="79">
        <v>12</v>
      </c>
      <c r="AB35" s="80">
        <v>12</v>
      </c>
      <c r="AC35" s="80"/>
      <c r="AD35" s="80"/>
      <c r="AE35" s="80">
        <v>12</v>
      </c>
      <c r="AF35" s="80">
        <v>12</v>
      </c>
      <c r="AG35" s="79"/>
      <c r="AH35" s="79"/>
      <c r="AI35" s="80">
        <v>12</v>
      </c>
      <c r="AJ35" s="80">
        <v>12</v>
      </c>
      <c r="AK35" s="80"/>
      <c r="AL35" s="80"/>
      <c r="AM35" s="80">
        <v>12</v>
      </c>
      <c r="AN35" s="79">
        <v>12</v>
      </c>
      <c r="AO35" s="81"/>
    </row>
    <row r="36" spans="1:41" x14ac:dyDescent="0.3">
      <c r="A36" s="46">
        <v>2240</v>
      </c>
      <c r="B36" s="47">
        <v>37</v>
      </c>
      <c r="C36" s="48" t="s">
        <v>27</v>
      </c>
      <c r="D36" s="48" t="s">
        <v>141</v>
      </c>
      <c r="E36" s="48" t="s">
        <v>162</v>
      </c>
      <c r="F36" s="46" t="s">
        <v>30</v>
      </c>
      <c r="G36" s="46" t="s">
        <v>31</v>
      </c>
      <c r="H36" s="48" t="s">
        <v>163</v>
      </c>
      <c r="I36" s="46" t="s">
        <v>164</v>
      </c>
      <c r="J36" s="48" t="s">
        <v>165</v>
      </c>
      <c r="K36" s="49">
        <f t="shared" si="0"/>
        <v>0.9882352941176471</v>
      </c>
      <c r="L36" s="50">
        <f t="shared" si="1"/>
        <v>168</v>
      </c>
      <c r="M36" s="79"/>
      <c r="N36" s="80"/>
      <c r="O36" s="80">
        <v>12</v>
      </c>
      <c r="P36" s="80">
        <v>12</v>
      </c>
      <c r="Q36" s="80"/>
      <c r="R36" s="80"/>
      <c r="S36" s="79">
        <v>12</v>
      </c>
      <c r="T36" s="79">
        <v>12</v>
      </c>
      <c r="U36" s="80"/>
      <c r="V36" s="80"/>
      <c r="W36" s="80">
        <v>12</v>
      </c>
      <c r="X36" s="80">
        <v>12</v>
      </c>
      <c r="Y36" s="80"/>
      <c r="Z36" s="79"/>
      <c r="AA36" s="79">
        <v>12</v>
      </c>
      <c r="AB36" s="80">
        <v>12</v>
      </c>
      <c r="AC36" s="80"/>
      <c r="AD36" s="80"/>
      <c r="AE36" s="80">
        <v>12</v>
      </c>
      <c r="AF36" s="80">
        <v>12</v>
      </c>
      <c r="AG36" s="79"/>
      <c r="AH36" s="79"/>
      <c r="AI36" s="80">
        <v>12</v>
      </c>
      <c r="AJ36" s="80">
        <v>12</v>
      </c>
      <c r="AK36" s="80"/>
      <c r="AL36" s="80"/>
      <c r="AM36" s="80">
        <v>12</v>
      </c>
      <c r="AN36" s="79">
        <v>12</v>
      </c>
      <c r="AO36" s="81"/>
    </row>
    <row r="37" spans="1:41" x14ac:dyDescent="0.3">
      <c r="A37" s="46">
        <v>3231</v>
      </c>
      <c r="B37" s="51">
        <v>38</v>
      </c>
      <c r="C37" s="28" t="s">
        <v>71</v>
      </c>
      <c r="D37" s="28" t="s">
        <v>166</v>
      </c>
      <c r="E37" s="28" t="s">
        <v>167</v>
      </c>
      <c r="F37" s="46" t="s">
        <v>30</v>
      </c>
      <c r="G37" s="46" t="s">
        <v>31</v>
      </c>
      <c r="H37" s="28" t="s">
        <v>168</v>
      </c>
      <c r="I37" s="53" t="s">
        <v>169</v>
      </c>
      <c r="J37" s="28" t="s">
        <v>170</v>
      </c>
      <c r="K37" s="49">
        <f t="shared" si="0"/>
        <v>0.94117647058823528</v>
      </c>
      <c r="L37" s="50">
        <f t="shared" si="1"/>
        <v>160</v>
      </c>
      <c r="M37" s="79"/>
      <c r="N37" s="80">
        <v>8</v>
      </c>
      <c r="O37" s="80">
        <v>8</v>
      </c>
      <c r="P37" s="80">
        <v>8</v>
      </c>
      <c r="Q37" s="80">
        <v>8</v>
      </c>
      <c r="R37" s="80">
        <v>8</v>
      </c>
      <c r="S37" s="79"/>
      <c r="T37" s="79"/>
      <c r="U37" s="80">
        <v>8</v>
      </c>
      <c r="V37" s="80">
        <v>8</v>
      </c>
      <c r="W37" s="80">
        <v>8</v>
      </c>
      <c r="X37" s="80">
        <v>8</v>
      </c>
      <c r="Y37" s="80">
        <v>8</v>
      </c>
      <c r="Z37" s="79"/>
      <c r="AA37" s="79"/>
      <c r="AB37" s="80">
        <v>8</v>
      </c>
      <c r="AC37" s="80">
        <v>8</v>
      </c>
      <c r="AD37" s="80">
        <v>8</v>
      </c>
      <c r="AE37" s="80">
        <v>8</v>
      </c>
      <c r="AF37" s="80">
        <v>8</v>
      </c>
      <c r="AG37" s="79"/>
      <c r="AH37" s="79"/>
      <c r="AI37" s="80">
        <v>8</v>
      </c>
      <c r="AJ37" s="80">
        <v>8</v>
      </c>
      <c r="AK37" s="80">
        <v>8</v>
      </c>
      <c r="AL37" s="80">
        <v>8</v>
      </c>
      <c r="AM37" s="80">
        <v>8</v>
      </c>
      <c r="AN37" s="79"/>
      <c r="AO37" s="81"/>
    </row>
    <row r="38" spans="1:41" x14ac:dyDescent="0.3">
      <c r="A38" s="46">
        <v>2266</v>
      </c>
      <c r="B38" s="53">
        <v>39</v>
      </c>
      <c r="C38" s="28" t="s">
        <v>71</v>
      </c>
      <c r="D38" s="28" t="s">
        <v>166</v>
      </c>
      <c r="E38" s="28" t="s">
        <v>171</v>
      </c>
      <c r="F38" s="46" t="s">
        <v>30</v>
      </c>
      <c r="G38" s="46" t="s">
        <v>31</v>
      </c>
      <c r="H38" s="28" t="s">
        <v>172</v>
      </c>
      <c r="I38" s="53" t="s">
        <v>173</v>
      </c>
      <c r="J38" s="28" t="s">
        <v>174</v>
      </c>
      <c r="K38" s="49">
        <f t="shared" si="0"/>
        <v>0.94117647058823528</v>
      </c>
      <c r="L38" s="50">
        <f t="shared" si="1"/>
        <v>160</v>
      </c>
      <c r="M38" s="79"/>
      <c r="N38" s="80">
        <v>8</v>
      </c>
      <c r="O38" s="80">
        <v>8</v>
      </c>
      <c r="P38" s="80">
        <v>8</v>
      </c>
      <c r="Q38" s="80">
        <v>8</v>
      </c>
      <c r="R38" s="80">
        <v>8</v>
      </c>
      <c r="S38" s="79"/>
      <c r="T38" s="79"/>
      <c r="U38" s="80">
        <v>8</v>
      </c>
      <c r="V38" s="80">
        <v>8</v>
      </c>
      <c r="W38" s="80">
        <v>8</v>
      </c>
      <c r="X38" s="80">
        <v>8</v>
      </c>
      <c r="Y38" s="80">
        <v>8</v>
      </c>
      <c r="Z38" s="79"/>
      <c r="AA38" s="79"/>
      <c r="AB38" s="80">
        <v>8</v>
      </c>
      <c r="AC38" s="80">
        <v>8</v>
      </c>
      <c r="AD38" s="80">
        <v>8</v>
      </c>
      <c r="AE38" s="80">
        <v>8</v>
      </c>
      <c r="AF38" s="80">
        <v>8</v>
      </c>
      <c r="AG38" s="79"/>
      <c r="AH38" s="79"/>
      <c r="AI38" s="80">
        <v>8</v>
      </c>
      <c r="AJ38" s="80">
        <v>8</v>
      </c>
      <c r="AK38" s="80">
        <v>8</v>
      </c>
      <c r="AL38" s="80">
        <v>8</v>
      </c>
      <c r="AM38" s="80">
        <v>8</v>
      </c>
      <c r="AN38" s="79"/>
      <c r="AO38" s="81"/>
    </row>
    <row r="39" spans="1:41" x14ac:dyDescent="0.3">
      <c r="A39" s="46">
        <v>2216</v>
      </c>
      <c r="B39" s="47">
        <v>40</v>
      </c>
      <c r="C39" s="28" t="s">
        <v>71</v>
      </c>
      <c r="D39" s="28" t="s">
        <v>166</v>
      </c>
      <c r="E39" s="28" t="s">
        <v>175</v>
      </c>
      <c r="F39" s="46" t="s">
        <v>30</v>
      </c>
      <c r="G39" s="46" t="s">
        <v>31</v>
      </c>
      <c r="H39" s="28" t="s">
        <v>176</v>
      </c>
      <c r="I39" s="53" t="s">
        <v>177</v>
      </c>
      <c r="J39" s="28" t="s">
        <v>178</v>
      </c>
      <c r="K39" s="49">
        <f t="shared" si="0"/>
        <v>0.9882352941176471</v>
      </c>
      <c r="L39" s="50">
        <f t="shared" si="1"/>
        <v>168</v>
      </c>
      <c r="M39" s="79">
        <v>12</v>
      </c>
      <c r="N39" s="80">
        <v>12</v>
      </c>
      <c r="O39" s="80"/>
      <c r="P39" s="80"/>
      <c r="Q39" s="80">
        <v>12</v>
      </c>
      <c r="R39" s="80">
        <v>12</v>
      </c>
      <c r="S39" s="79"/>
      <c r="T39" s="79"/>
      <c r="U39" s="80">
        <v>12</v>
      </c>
      <c r="V39" s="80">
        <v>12</v>
      </c>
      <c r="W39" s="80"/>
      <c r="X39" s="80"/>
      <c r="Y39" s="80">
        <v>12</v>
      </c>
      <c r="Z39" s="79">
        <v>12</v>
      </c>
      <c r="AA39" s="79"/>
      <c r="AB39" s="80"/>
      <c r="AC39" s="80">
        <v>12</v>
      </c>
      <c r="AD39" s="80">
        <v>12</v>
      </c>
      <c r="AE39" s="80"/>
      <c r="AF39" s="80"/>
      <c r="AG39" s="79">
        <v>12</v>
      </c>
      <c r="AH39" s="79">
        <v>12</v>
      </c>
      <c r="AI39" s="80"/>
      <c r="AJ39" s="80"/>
      <c r="AK39" s="80">
        <v>12</v>
      </c>
      <c r="AL39" s="80">
        <v>12</v>
      </c>
      <c r="AM39" s="80"/>
      <c r="AN39" s="79"/>
      <c r="AO39" s="81"/>
    </row>
    <row r="40" spans="1:41" x14ac:dyDescent="0.3">
      <c r="A40" s="46">
        <v>581</v>
      </c>
      <c r="B40" s="51">
        <v>41</v>
      </c>
      <c r="C40" s="28" t="s">
        <v>71</v>
      </c>
      <c r="D40" s="28" t="s">
        <v>166</v>
      </c>
      <c r="E40" s="28" t="s">
        <v>179</v>
      </c>
      <c r="F40" s="46" t="s">
        <v>30</v>
      </c>
      <c r="G40" s="46" t="s">
        <v>31</v>
      </c>
      <c r="H40" s="28" t="s">
        <v>180</v>
      </c>
      <c r="I40" s="53" t="s">
        <v>181</v>
      </c>
      <c r="J40" s="28" t="s">
        <v>182</v>
      </c>
      <c r="K40" s="49">
        <f t="shared" si="0"/>
        <v>0.94117647058823528</v>
      </c>
      <c r="L40" s="50">
        <f t="shared" si="1"/>
        <v>160</v>
      </c>
      <c r="M40" s="79"/>
      <c r="N40" s="80">
        <v>8</v>
      </c>
      <c r="O40" s="80">
        <v>8</v>
      </c>
      <c r="P40" s="80">
        <v>8</v>
      </c>
      <c r="Q40" s="80">
        <v>8</v>
      </c>
      <c r="R40" s="80">
        <v>8</v>
      </c>
      <c r="S40" s="79"/>
      <c r="T40" s="79"/>
      <c r="U40" s="80">
        <v>8</v>
      </c>
      <c r="V40" s="80">
        <v>8</v>
      </c>
      <c r="W40" s="80">
        <v>8</v>
      </c>
      <c r="X40" s="80">
        <v>8</v>
      </c>
      <c r="Y40" s="80">
        <v>8</v>
      </c>
      <c r="Z40" s="79"/>
      <c r="AA40" s="79"/>
      <c r="AB40" s="80">
        <v>8</v>
      </c>
      <c r="AC40" s="80">
        <v>8</v>
      </c>
      <c r="AD40" s="80">
        <v>8</v>
      </c>
      <c r="AE40" s="80">
        <v>8</v>
      </c>
      <c r="AF40" s="80">
        <v>8</v>
      </c>
      <c r="AG40" s="79"/>
      <c r="AH40" s="79"/>
      <c r="AI40" s="80">
        <v>8</v>
      </c>
      <c r="AJ40" s="80">
        <v>8</v>
      </c>
      <c r="AK40" s="80">
        <v>8</v>
      </c>
      <c r="AL40" s="80">
        <v>8</v>
      </c>
      <c r="AM40" s="80">
        <v>8</v>
      </c>
      <c r="AN40" s="79"/>
      <c r="AO40" s="81"/>
    </row>
    <row r="41" spans="1:41" x14ac:dyDescent="0.3">
      <c r="A41" s="46">
        <v>2325</v>
      </c>
      <c r="B41" s="53">
        <v>42</v>
      </c>
      <c r="C41" s="28" t="s">
        <v>35</v>
      </c>
      <c r="D41" s="28" t="s">
        <v>76</v>
      </c>
      <c r="E41" s="28" t="s">
        <v>183</v>
      </c>
      <c r="F41" s="46" t="s">
        <v>30</v>
      </c>
      <c r="G41" s="46" t="s">
        <v>31</v>
      </c>
      <c r="H41" s="28" t="s">
        <v>184</v>
      </c>
      <c r="I41" s="53">
        <v>79224873263</v>
      </c>
      <c r="J41" s="53" t="s">
        <v>185</v>
      </c>
      <c r="K41" s="49">
        <f t="shared" si="0"/>
        <v>0.94117647058823528</v>
      </c>
      <c r="L41" s="50">
        <f t="shared" si="1"/>
        <v>160</v>
      </c>
      <c r="M41" s="79"/>
      <c r="N41" s="80">
        <v>8</v>
      </c>
      <c r="O41" s="80">
        <v>8</v>
      </c>
      <c r="P41" s="80">
        <v>8</v>
      </c>
      <c r="Q41" s="80">
        <v>8</v>
      </c>
      <c r="R41" s="80">
        <v>8</v>
      </c>
      <c r="S41" s="79"/>
      <c r="T41" s="79"/>
      <c r="U41" s="80">
        <v>8</v>
      </c>
      <c r="V41" s="80">
        <v>8</v>
      </c>
      <c r="W41" s="80">
        <v>8</v>
      </c>
      <c r="X41" s="80">
        <v>8</v>
      </c>
      <c r="Y41" s="80">
        <v>8</v>
      </c>
      <c r="Z41" s="79"/>
      <c r="AA41" s="79"/>
      <c r="AB41" s="80">
        <v>8</v>
      </c>
      <c r="AC41" s="80">
        <v>8</v>
      </c>
      <c r="AD41" s="80">
        <v>8</v>
      </c>
      <c r="AE41" s="80">
        <v>8</v>
      </c>
      <c r="AF41" s="80">
        <v>8</v>
      </c>
      <c r="AG41" s="79"/>
      <c r="AH41" s="79"/>
      <c r="AI41" s="80">
        <v>8</v>
      </c>
      <c r="AJ41" s="80">
        <v>8</v>
      </c>
      <c r="AK41" s="80">
        <v>8</v>
      </c>
      <c r="AL41" s="80">
        <v>8</v>
      </c>
      <c r="AM41" s="80">
        <v>8</v>
      </c>
      <c r="AN41" s="79"/>
      <c r="AO41" s="84"/>
    </row>
    <row r="42" spans="1:41" x14ac:dyDescent="0.3">
      <c r="A42" s="46">
        <v>1754</v>
      </c>
      <c r="B42" s="47">
        <v>43</v>
      </c>
      <c r="C42" s="28" t="s">
        <v>186</v>
      </c>
      <c r="D42" s="28" t="s">
        <v>187</v>
      </c>
      <c r="E42" s="28" t="s">
        <v>188</v>
      </c>
      <c r="F42" s="46" t="s">
        <v>30</v>
      </c>
      <c r="G42" s="46" t="s">
        <v>31</v>
      </c>
      <c r="H42" s="58" t="s">
        <v>189</v>
      </c>
      <c r="I42" s="27" t="s">
        <v>190</v>
      </c>
      <c r="J42" s="58" t="s">
        <v>191</v>
      </c>
      <c r="K42" s="49">
        <f t="shared" si="0"/>
        <v>1.8823529411764706</v>
      </c>
      <c r="L42" s="50">
        <f t="shared" si="1"/>
        <v>320</v>
      </c>
      <c r="M42" s="79">
        <v>8</v>
      </c>
      <c r="N42" s="80">
        <v>8</v>
      </c>
      <c r="O42" s="80">
        <v>16</v>
      </c>
      <c r="P42" s="80">
        <v>8</v>
      </c>
      <c r="Q42" s="80">
        <v>8</v>
      </c>
      <c r="R42" s="80">
        <v>16</v>
      </c>
      <c r="S42" s="79">
        <v>16</v>
      </c>
      <c r="T42" s="79">
        <v>8</v>
      </c>
      <c r="U42" s="80">
        <v>8</v>
      </c>
      <c r="V42" s="80">
        <v>16</v>
      </c>
      <c r="W42" s="80">
        <v>8</v>
      </c>
      <c r="X42" s="80">
        <v>8</v>
      </c>
      <c r="Y42" s="80">
        <v>16</v>
      </c>
      <c r="Z42" s="79">
        <v>16</v>
      </c>
      <c r="AA42" s="79">
        <v>8</v>
      </c>
      <c r="AB42" s="80">
        <v>8</v>
      </c>
      <c r="AC42" s="80">
        <v>16</v>
      </c>
      <c r="AD42" s="80">
        <v>8</v>
      </c>
      <c r="AE42" s="80">
        <v>8</v>
      </c>
      <c r="AF42" s="80">
        <v>16</v>
      </c>
      <c r="AG42" s="79">
        <v>16</v>
      </c>
      <c r="AH42" s="79">
        <v>8</v>
      </c>
      <c r="AI42" s="80">
        <v>8</v>
      </c>
      <c r="AJ42" s="80">
        <v>16</v>
      </c>
      <c r="AK42" s="80">
        <v>8</v>
      </c>
      <c r="AL42" s="80">
        <v>8</v>
      </c>
      <c r="AM42" s="80">
        <v>16</v>
      </c>
      <c r="AN42" s="79">
        <v>16</v>
      </c>
      <c r="AO42" s="85"/>
    </row>
    <row r="43" spans="1:41" x14ac:dyDescent="0.3">
      <c r="A43" s="46">
        <v>1190</v>
      </c>
      <c r="B43" s="51">
        <v>44</v>
      </c>
      <c r="C43" s="28" t="s">
        <v>192</v>
      </c>
      <c r="D43" s="28" t="s">
        <v>193</v>
      </c>
      <c r="E43" s="28" t="s">
        <v>194</v>
      </c>
      <c r="F43" s="46" t="s">
        <v>30</v>
      </c>
      <c r="G43" s="46" t="s">
        <v>31</v>
      </c>
      <c r="H43" s="58" t="s">
        <v>195</v>
      </c>
      <c r="I43" s="27" t="s">
        <v>196</v>
      </c>
      <c r="J43" s="58" t="s">
        <v>197</v>
      </c>
      <c r="K43" s="49">
        <f t="shared" si="0"/>
        <v>1.6470588235294117</v>
      </c>
      <c r="L43" s="50">
        <f t="shared" si="1"/>
        <v>280</v>
      </c>
      <c r="M43" s="79">
        <v>10</v>
      </c>
      <c r="N43" s="80">
        <v>10</v>
      </c>
      <c r="O43" s="80">
        <v>10</v>
      </c>
      <c r="P43" s="80">
        <v>10</v>
      </c>
      <c r="Q43" s="80">
        <v>10</v>
      </c>
      <c r="R43" s="80">
        <v>10</v>
      </c>
      <c r="S43" s="79">
        <v>10</v>
      </c>
      <c r="T43" s="79">
        <v>10</v>
      </c>
      <c r="U43" s="80">
        <v>10</v>
      </c>
      <c r="V43" s="80">
        <v>10</v>
      </c>
      <c r="W43" s="80">
        <v>10</v>
      </c>
      <c r="X43" s="80">
        <v>10</v>
      </c>
      <c r="Y43" s="80">
        <v>10</v>
      </c>
      <c r="Z43" s="79">
        <v>10</v>
      </c>
      <c r="AA43" s="79">
        <v>10</v>
      </c>
      <c r="AB43" s="80">
        <v>10</v>
      </c>
      <c r="AC43" s="80">
        <v>10</v>
      </c>
      <c r="AD43" s="80">
        <v>10</v>
      </c>
      <c r="AE43" s="80">
        <v>10</v>
      </c>
      <c r="AF43" s="80">
        <v>10</v>
      </c>
      <c r="AG43" s="79">
        <v>10</v>
      </c>
      <c r="AH43" s="79">
        <v>10</v>
      </c>
      <c r="AI43" s="80">
        <v>10</v>
      </c>
      <c r="AJ43" s="80">
        <v>10</v>
      </c>
      <c r="AK43" s="80">
        <v>10</v>
      </c>
      <c r="AL43" s="80">
        <v>10</v>
      </c>
      <c r="AM43" s="80">
        <v>10</v>
      </c>
      <c r="AN43" s="79">
        <v>10</v>
      </c>
      <c r="AO43" s="85"/>
    </row>
    <row r="44" spans="1:41" x14ac:dyDescent="0.3">
      <c r="A44" s="46">
        <v>1376</v>
      </c>
      <c r="B44" s="53">
        <v>45</v>
      </c>
      <c r="C44" s="28" t="s">
        <v>192</v>
      </c>
      <c r="D44" s="28" t="s">
        <v>193</v>
      </c>
      <c r="E44" s="28" t="s">
        <v>198</v>
      </c>
      <c r="F44" s="46" t="s">
        <v>30</v>
      </c>
      <c r="G44" s="46" t="s">
        <v>31</v>
      </c>
      <c r="H44" s="58" t="s">
        <v>199</v>
      </c>
      <c r="I44" s="27" t="s">
        <v>200</v>
      </c>
      <c r="J44" s="58" t="s">
        <v>201</v>
      </c>
      <c r="K44" s="49">
        <f t="shared" si="0"/>
        <v>1.6470588235294117</v>
      </c>
      <c r="L44" s="50">
        <f t="shared" si="1"/>
        <v>280</v>
      </c>
      <c r="M44" s="79">
        <v>10</v>
      </c>
      <c r="N44" s="80">
        <v>10</v>
      </c>
      <c r="O44" s="80">
        <v>10</v>
      </c>
      <c r="P44" s="80">
        <v>10</v>
      </c>
      <c r="Q44" s="80">
        <v>10</v>
      </c>
      <c r="R44" s="80">
        <v>10</v>
      </c>
      <c r="S44" s="79">
        <v>10</v>
      </c>
      <c r="T44" s="79">
        <v>10</v>
      </c>
      <c r="U44" s="80">
        <v>10</v>
      </c>
      <c r="V44" s="80">
        <v>10</v>
      </c>
      <c r="W44" s="80">
        <v>10</v>
      </c>
      <c r="X44" s="80">
        <v>10</v>
      </c>
      <c r="Y44" s="80">
        <v>10</v>
      </c>
      <c r="Z44" s="79">
        <v>10</v>
      </c>
      <c r="AA44" s="79">
        <v>10</v>
      </c>
      <c r="AB44" s="80">
        <v>10</v>
      </c>
      <c r="AC44" s="80">
        <v>10</v>
      </c>
      <c r="AD44" s="80">
        <v>10</v>
      </c>
      <c r="AE44" s="80">
        <v>10</v>
      </c>
      <c r="AF44" s="80">
        <v>10</v>
      </c>
      <c r="AG44" s="79">
        <v>10</v>
      </c>
      <c r="AH44" s="79">
        <v>10</v>
      </c>
      <c r="AI44" s="80">
        <v>10</v>
      </c>
      <c r="AJ44" s="80">
        <v>10</v>
      </c>
      <c r="AK44" s="80">
        <v>10</v>
      </c>
      <c r="AL44" s="80">
        <v>10</v>
      </c>
      <c r="AM44" s="80">
        <v>10</v>
      </c>
      <c r="AN44" s="79">
        <v>10</v>
      </c>
      <c r="AO44" s="81" t="s">
        <v>297</v>
      </c>
    </row>
    <row r="45" spans="1:41" x14ac:dyDescent="0.3">
      <c r="A45" s="46">
        <v>2462</v>
      </c>
      <c r="B45" s="47">
        <v>46</v>
      </c>
      <c r="C45" s="48" t="s">
        <v>192</v>
      </c>
      <c r="D45" s="48" t="s">
        <v>202</v>
      </c>
      <c r="E45" s="28" t="s">
        <v>203</v>
      </c>
      <c r="F45" s="46" t="s">
        <v>30</v>
      </c>
      <c r="G45" s="46" t="s">
        <v>31</v>
      </c>
      <c r="H45" s="58" t="s">
        <v>204</v>
      </c>
      <c r="I45" s="27" t="s">
        <v>205</v>
      </c>
      <c r="J45" s="58" t="s">
        <v>206</v>
      </c>
      <c r="K45" s="49">
        <f t="shared" si="0"/>
        <v>0.94117647058823528</v>
      </c>
      <c r="L45" s="50">
        <f t="shared" si="1"/>
        <v>160</v>
      </c>
      <c r="M45" s="79"/>
      <c r="N45" s="80">
        <v>8</v>
      </c>
      <c r="O45" s="80">
        <v>8</v>
      </c>
      <c r="P45" s="80">
        <v>8</v>
      </c>
      <c r="Q45" s="80">
        <v>8</v>
      </c>
      <c r="R45" s="80">
        <v>8</v>
      </c>
      <c r="S45" s="79"/>
      <c r="T45" s="79"/>
      <c r="U45" s="80">
        <v>8</v>
      </c>
      <c r="V45" s="80">
        <v>8</v>
      </c>
      <c r="W45" s="80">
        <v>8</v>
      </c>
      <c r="X45" s="80">
        <v>8</v>
      </c>
      <c r="Y45" s="80">
        <v>8</v>
      </c>
      <c r="Z45" s="79"/>
      <c r="AA45" s="79"/>
      <c r="AB45" s="80">
        <v>8</v>
      </c>
      <c r="AC45" s="80">
        <v>8</v>
      </c>
      <c r="AD45" s="80">
        <v>8</v>
      </c>
      <c r="AE45" s="80">
        <v>8</v>
      </c>
      <c r="AF45" s="80">
        <v>8</v>
      </c>
      <c r="AG45" s="79"/>
      <c r="AH45" s="79"/>
      <c r="AI45" s="80">
        <v>8</v>
      </c>
      <c r="AJ45" s="80">
        <v>8</v>
      </c>
      <c r="AK45" s="80">
        <v>8</v>
      </c>
      <c r="AL45" s="80">
        <v>8</v>
      </c>
      <c r="AM45" s="80">
        <v>8</v>
      </c>
      <c r="AN45" s="79"/>
      <c r="AO45" s="81" t="s">
        <v>298</v>
      </c>
    </row>
    <row r="46" spans="1:41" x14ac:dyDescent="0.3">
      <c r="A46" s="46">
        <v>1779</v>
      </c>
      <c r="B46" s="51">
        <v>47</v>
      </c>
      <c r="C46" s="48" t="s">
        <v>192</v>
      </c>
      <c r="D46" s="48" t="s">
        <v>202</v>
      </c>
      <c r="E46" s="28" t="s">
        <v>207</v>
      </c>
      <c r="F46" s="46" t="s">
        <v>30</v>
      </c>
      <c r="G46" s="46" t="s">
        <v>31</v>
      </c>
      <c r="H46" s="58" t="s">
        <v>208</v>
      </c>
      <c r="I46" s="27" t="s">
        <v>209</v>
      </c>
      <c r="J46" s="58" t="s">
        <v>210</v>
      </c>
      <c r="K46" s="49">
        <f t="shared" si="0"/>
        <v>0.94117647058823528</v>
      </c>
      <c r="L46" s="50">
        <f t="shared" si="1"/>
        <v>160</v>
      </c>
      <c r="M46" s="79"/>
      <c r="N46" s="80">
        <v>8</v>
      </c>
      <c r="O46" s="80">
        <v>8</v>
      </c>
      <c r="P46" s="80">
        <v>8</v>
      </c>
      <c r="Q46" s="80">
        <v>8</v>
      </c>
      <c r="R46" s="80">
        <v>8</v>
      </c>
      <c r="S46" s="79"/>
      <c r="T46" s="79"/>
      <c r="U46" s="80">
        <v>8</v>
      </c>
      <c r="V46" s="80">
        <v>8</v>
      </c>
      <c r="W46" s="80">
        <v>8</v>
      </c>
      <c r="X46" s="80">
        <v>8</v>
      </c>
      <c r="Y46" s="80">
        <v>8</v>
      </c>
      <c r="Z46" s="79"/>
      <c r="AA46" s="79"/>
      <c r="AB46" s="80">
        <v>8</v>
      </c>
      <c r="AC46" s="80">
        <v>8</v>
      </c>
      <c r="AD46" s="80">
        <v>8</v>
      </c>
      <c r="AE46" s="80">
        <v>8</v>
      </c>
      <c r="AF46" s="80">
        <v>8</v>
      </c>
      <c r="AG46" s="79"/>
      <c r="AH46" s="79"/>
      <c r="AI46" s="80">
        <v>8</v>
      </c>
      <c r="AJ46" s="80">
        <v>8</v>
      </c>
      <c r="AK46" s="80">
        <v>8</v>
      </c>
      <c r="AL46" s="80">
        <v>8</v>
      </c>
      <c r="AM46" s="80">
        <v>8</v>
      </c>
      <c r="AN46" s="79"/>
      <c r="AO46" s="81" t="s">
        <v>299</v>
      </c>
    </row>
    <row r="47" spans="1:41" x14ac:dyDescent="0.3">
      <c r="A47" s="46">
        <v>3977</v>
      </c>
      <c r="B47" s="53">
        <v>48</v>
      </c>
      <c r="C47" s="48" t="s">
        <v>192</v>
      </c>
      <c r="D47" s="48" t="s">
        <v>202</v>
      </c>
      <c r="E47" s="28" t="s">
        <v>211</v>
      </c>
      <c r="F47" s="46" t="s">
        <v>30</v>
      </c>
      <c r="G47" s="46" t="s">
        <v>31</v>
      </c>
      <c r="H47" s="58" t="s">
        <v>212</v>
      </c>
      <c r="I47" s="27" t="s">
        <v>213</v>
      </c>
      <c r="J47" s="58" t="s">
        <v>214</v>
      </c>
      <c r="K47" s="49">
        <f t="shared" si="0"/>
        <v>0.94117647058823528</v>
      </c>
      <c r="L47" s="50">
        <f t="shared" si="1"/>
        <v>160</v>
      </c>
      <c r="M47" s="79"/>
      <c r="N47" s="80">
        <v>8</v>
      </c>
      <c r="O47" s="80">
        <v>8</v>
      </c>
      <c r="P47" s="80">
        <v>8</v>
      </c>
      <c r="Q47" s="80">
        <v>8</v>
      </c>
      <c r="R47" s="80">
        <v>8</v>
      </c>
      <c r="S47" s="79"/>
      <c r="T47" s="79"/>
      <c r="U47" s="80">
        <v>8</v>
      </c>
      <c r="V47" s="80">
        <v>8</v>
      </c>
      <c r="W47" s="80">
        <v>8</v>
      </c>
      <c r="X47" s="80">
        <v>8</v>
      </c>
      <c r="Y47" s="80">
        <v>8</v>
      </c>
      <c r="Z47" s="79"/>
      <c r="AA47" s="79"/>
      <c r="AB47" s="80">
        <v>8</v>
      </c>
      <c r="AC47" s="80">
        <v>8</v>
      </c>
      <c r="AD47" s="80">
        <v>8</v>
      </c>
      <c r="AE47" s="80">
        <v>8</v>
      </c>
      <c r="AF47" s="80">
        <v>8</v>
      </c>
      <c r="AG47" s="79"/>
      <c r="AH47" s="79"/>
      <c r="AI47" s="80">
        <v>8</v>
      </c>
      <c r="AJ47" s="80">
        <v>8</v>
      </c>
      <c r="AK47" s="80">
        <v>8</v>
      </c>
      <c r="AL47" s="80">
        <v>8</v>
      </c>
      <c r="AM47" s="80">
        <v>8</v>
      </c>
      <c r="AN47" s="79"/>
      <c r="AO47" s="81" t="s">
        <v>300</v>
      </c>
    </row>
    <row r="48" spans="1:41" x14ac:dyDescent="0.3">
      <c r="A48" s="46">
        <v>3421</v>
      </c>
      <c r="B48" s="47">
        <v>49</v>
      </c>
      <c r="C48" s="48" t="s">
        <v>192</v>
      </c>
      <c r="D48" s="48" t="s">
        <v>202</v>
      </c>
      <c r="E48" s="28" t="s">
        <v>215</v>
      </c>
      <c r="F48" s="46" t="s">
        <v>30</v>
      </c>
      <c r="G48" s="46" t="s">
        <v>31</v>
      </c>
      <c r="H48" s="58" t="s">
        <v>212</v>
      </c>
      <c r="I48" s="27" t="s">
        <v>213</v>
      </c>
      <c r="J48" s="58" t="s">
        <v>214</v>
      </c>
      <c r="K48" s="49">
        <f t="shared" si="0"/>
        <v>0.94117647058823528</v>
      </c>
      <c r="L48" s="50">
        <f t="shared" si="1"/>
        <v>160</v>
      </c>
      <c r="M48" s="79"/>
      <c r="N48" s="80">
        <v>8</v>
      </c>
      <c r="O48" s="80">
        <v>8</v>
      </c>
      <c r="P48" s="80">
        <v>8</v>
      </c>
      <c r="Q48" s="80">
        <v>8</v>
      </c>
      <c r="R48" s="80">
        <v>8</v>
      </c>
      <c r="S48" s="79"/>
      <c r="T48" s="79"/>
      <c r="U48" s="80">
        <v>8</v>
      </c>
      <c r="V48" s="80">
        <v>8</v>
      </c>
      <c r="W48" s="80">
        <v>8</v>
      </c>
      <c r="X48" s="80">
        <v>8</v>
      </c>
      <c r="Y48" s="80">
        <v>8</v>
      </c>
      <c r="Z48" s="79"/>
      <c r="AA48" s="79"/>
      <c r="AB48" s="80">
        <v>8</v>
      </c>
      <c r="AC48" s="80">
        <v>8</v>
      </c>
      <c r="AD48" s="80">
        <v>8</v>
      </c>
      <c r="AE48" s="80">
        <v>8</v>
      </c>
      <c r="AF48" s="80">
        <v>8</v>
      </c>
      <c r="AG48" s="79"/>
      <c r="AH48" s="79"/>
      <c r="AI48" s="80">
        <v>8</v>
      </c>
      <c r="AJ48" s="80">
        <v>8</v>
      </c>
      <c r="AK48" s="80">
        <v>8</v>
      </c>
      <c r="AL48" s="80">
        <v>8</v>
      </c>
      <c r="AM48" s="80">
        <v>8</v>
      </c>
      <c r="AN48" s="79"/>
      <c r="AO48" s="84" t="s">
        <v>301</v>
      </c>
    </row>
    <row r="49" spans="1:41" x14ac:dyDescent="0.3">
      <c r="A49" s="46">
        <v>2100</v>
      </c>
      <c r="B49" s="51">
        <v>50</v>
      </c>
      <c r="C49" s="48" t="s">
        <v>192</v>
      </c>
      <c r="D49" s="48" t="s">
        <v>202</v>
      </c>
      <c r="E49" s="28" t="s">
        <v>216</v>
      </c>
      <c r="F49" s="46" t="s">
        <v>30</v>
      </c>
      <c r="G49" s="46" t="s">
        <v>31</v>
      </c>
      <c r="H49" s="58" t="s">
        <v>217</v>
      </c>
      <c r="I49" s="27" t="s">
        <v>218</v>
      </c>
      <c r="J49" s="58" t="s">
        <v>219</v>
      </c>
      <c r="K49" s="49">
        <f t="shared" si="0"/>
        <v>0.94117647058823528</v>
      </c>
      <c r="L49" s="50">
        <f t="shared" si="1"/>
        <v>160</v>
      </c>
      <c r="M49" s="79"/>
      <c r="N49" s="80">
        <v>8</v>
      </c>
      <c r="O49" s="80">
        <v>8</v>
      </c>
      <c r="P49" s="80">
        <v>8</v>
      </c>
      <c r="Q49" s="80">
        <v>8</v>
      </c>
      <c r="R49" s="80">
        <v>8</v>
      </c>
      <c r="S49" s="79"/>
      <c r="T49" s="79"/>
      <c r="U49" s="80">
        <v>8</v>
      </c>
      <c r="V49" s="80">
        <v>8</v>
      </c>
      <c r="W49" s="80">
        <v>8</v>
      </c>
      <c r="X49" s="80">
        <v>8</v>
      </c>
      <c r="Y49" s="80">
        <v>8</v>
      </c>
      <c r="Z49" s="79"/>
      <c r="AA49" s="79"/>
      <c r="AB49" s="80">
        <v>8</v>
      </c>
      <c r="AC49" s="80">
        <v>8</v>
      </c>
      <c r="AD49" s="80">
        <v>8</v>
      </c>
      <c r="AE49" s="80">
        <v>8</v>
      </c>
      <c r="AF49" s="80">
        <v>8</v>
      </c>
      <c r="AG49" s="79"/>
      <c r="AH49" s="79"/>
      <c r="AI49" s="80">
        <v>8</v>
      </c>
      <c r="AJ49" s="80">
        <v>8</v>
      </c>
      <c r="AK49" s="80">
        <v>8</v>
      </c>
      <c r="AL49" s="80">
        <v>8</v>
      </c>
      <c r="AM49" s="80">
        <v>8</v>
      </c>
      <c r="AN49" s="79"/>
      <c r="AO49" s="85"/>
    </row>
    <row r="50" spans="1:41" x14ac:dyDescent="0.3">
      <c r="A50" s="46">
        <v>660</v>
      </c>
      <c r="B50" s="53">
        <v>51</v>
      </c>
      <c r="C50" s="48" t="s">
        <v>192</v>
      </c>
      <c r="D50" s="48" t="s">
        <v>202</v>
      </c>
      <c r="E50" s="28" t="s">
        <v>220</v>
      </c>
      <c r="F50" s="46" t="s">
        <v>30</v>
      </c>
      <c r="G50" s="46" t="s">
        <v>31</v>
      </c>
      <c r="H50" s="58" t="s">
        <v>221</v>
      </c>
      <c r="I50" s="27" t="s">
        <v>222</v>
      </c>
      <c r="J50" s="58" t="s">
        <v>223</v>
      </c>
      <c r="K50" s="49">
        <f t="shared" si="0"/>
        <v>0.94117647058823528</v>
      </c>
      <c r="L50" s="50">
        <f t="shared" si="1"/>
        <v>160</v>
      </c>
      <c r="M50" s="79"/>
      <c r="N50" s="80">
        <v>8</v>
      </c>
      <c r="O50" s="80">
        <v>8</v>
      </c>
      <c r="P50" s="80">
        <v>8</v>
      </c>
      <c r="Q50" s="80">
        <v>8</v>
      </c>
      <c r="R50" s="80">
        <v>8</v>
      </c>
      <c r="S50" s="79"/>
      <c r="T50" s="79"/>
      <c r="U50" s="80">
        <v>8</v>
      </c>
      <c r="V50" s="80">
        <v>8</v>
      </c>
      <c r="W50" s="80">
        <v>8</v>
      </c>
      <c r="X50" s="80">
        <v>8</v>
      </c>
      <c r="Y50" s="80">
        <v>8</v>
      </c>
      <c r="Z50" s="79"/>
      <c r="AA50" s="79"/>
      <c r="AB50" s="80">
        <v>8</v>
      </c>
      <c r="AC50" s="80">
        <v>8</v>
      </c>
      <c r="AD50" s="80">
        <v>8</v>
      </c>
      <c r="AE50" s="80">
        <v>8</v>
      </c>
      <c r="AF50" s="80">
        <v>8</v>
      </c>
      <c r="AG50" s="79"/>
      <c r="AH50" s="79"/>
      <c r="AI50" s="80">
        <v>8</v>
      </c>
      <c r="AJ50" s="80">
        <v>8</v>
      </c>
      <c r="AK50" s="80">
        <v>8</v>
      </c>
      <c r="AL50" s="80">
        <v>8</v>
      </c>
      <c r="AM50" s="80">
        <v>8</v>
      </c>
      <c r="AN50" s="79"/>
      <c r="AO50" s="81" t="s">
        <v>298</v>
      </c>
    </row>
    <row r="51" spans="1:41" x14ac:dyDescent="0.3">
      <c r="A51" s="46">
        <v>1263</v>
      </c>
      <c r="B51" s="47">
        <v>52</v>
      </c>
      <c r="C51" s="48" t="s">
        <v>192</v>
      </c>
      <c r="D51" s="48" t="s">
        <v>202</v>
      </c>
      <c r="E51" s="28" t="s">
        <v>224</v>
      </c>
      <c r="F51" s="46" t="s">
        <v>30</v>
      </c>
      <c r="G51" s="46" t="s">
        <v>31</v>
      </c>
      <c r="H51" s="58" t="s">
        <v>225</v>
      </c>
      <c r="I51" s="27" t="s">
        <v>226</v>
      </c>
      <c r="J51" s="58" t="s">
        <v>227</v>
      </c>
      <c r="K51" s="49">
        <f t="shared" si="0"/>
        <v>0.94117647058823528</v>
      </c>
      <c r="L51" s="50">
        <f t="shared" si="1"/>
        <v>160</v>
      </c>
      <c r="M51" s="79"/>
      <c r="N51" s="80">
        <v>8</v>
      </c>
      <c r="O51" s="80">
        <v>8</v>
      </c>
      <c r="P51" s="80">
        <v>8</v>
      </c>
      <c r="Q51" s="80">
        <v>8</v>
      </c>
      <c r="R51" s="80">
        <v>8</v>
      </c>
      <c r="S51" s="79"/>
      <c r="T51" s="79"/>
      <c r="U51" s="80">
        <v>8</v>
      </c>
      <c r="V51" s="80">
        <v>8</v>
      </c>
      <c r="W51" s="80">
        <v>8</v>
      </c>
      <c r="X51" s="80">
        <v>8</v>
      </c>
      <c r="Y51" s="80">
        <v>8</v>
      </c>
      <c r="Z51" s="79"/>
      <c r="AA51" s="79"/>
      <c r="AB51" s="80">
        <v>8</v>
      </c>
      <c r="AC51" s="80">
        <v>8</v>
      </c>
      <c r="AD51" s="80">
        <v>8</v>
      </c>
      <c r="AE51" s="80">
        <v>8</v>
      </c>
      <c r="AF51" s="80">
        <v>8</v>
      </c>
      <c r="AG51" s="79"/>
      <c r="AH51" s="79"/>
      <c r="AI51" s="80">
        <v>8</v>
      </c>
      <c r="AJ51" s="80">
        <v>8</v>
      </c>
      <c r="AK51" s="80">
        <v>8</v>
      </c>
      <c r="AL51" s="80">
        <v>8</v>
      </c>
      <c r="AM51" s="80">
        <v>8</v>
      </c>
      <c r="AN51" s="79"/>
      <c r="AO51" s="81" t="s">
        <v>298</v>
      </c>
    </row>
    <row r="52" spans="1:41" x14ac:dyDescent="0.3">
      <c r="A52" s="46">
        <v>2786</v>
      </c>
      <c r="B52" s="51">
        <v>53</v>
      </c>
      <c r="C52" s="59" t="s">
        <v>192</v>
      </c>
      <c r="D52" s="59" t="s">
        <v>228</v>
      </c>
      <c r="E52" s="28" t="s">
        <v>229</v>
      </c>
      <c r="F52" s="46" t="s">
        <v>30</v>
      </c>
      <c r="G52" s="46" t="s">
        <v>31</v>
      </c>
      <c r="H52" s="58" t="s">
        <v>230</v>
      </c>
      <c r="I52" s="27" t="s">
        <v>231</v>
      </c>
      <c r="J52" s="58" t="s">
        <v>232</v>
      </c>
      <c r="K52" s="49">
        <f t="shared" si="0"/>
        <v>1</v>
      </c>
      <c r="L52" s="50">
        <f t="shared" si="1"/>
        <v>170</v>
      </c>
      <c r="M52" s="79">
        <v>10</v>
      </c>
      <c r="N52" s="80">
        <v>8</v>
      </c>
      <c r="O52" s="80"/>
      <c r="P52" s="80"/>
      <c r="Q52" s="80">
        <v>8</v>
      </c>
      <c r="R52" s="80">
        <v>8</v>
      </c>
      <c r="S52" s="79">
        <v>8</v>
      </c>
      <c r="T52" s="79">
        <v>10</v>
      </c>
      <c r="U52" s="80">
        <v>8</v>
      </c>
      <c r="V52" s="80"/>
      <c r="W52" s="80"/>
      <c r="X52" s="80">
        <v>8</v>
      </c>
      <c r="Y52" s="80">
        <v>8</v>
      </c>
      <c r="Z52" s="79">
        <v>8</v>
      </c>
      <c r="AA52" s="79">
        <v>10</v>
      </c>
      <c r="AB52" s="80">
        <v>8</v>
      </c>
      <c r="AC52" s="80"/>
      <c r="AD52" s="80"/>
      <c r="AE52" s="80">
        <v>8</v>
      </c>
      <c r="AF52" s="80">
        <v>8</v>
      </c>
      <c r="AG52" s="79">
        <v>8</v>
      </c>
      <c r="AH52" s="79">
        <v>10</v>
      </c>
      <c r="AI52" s="80">
        <v>8</v>
      </c>
      <c r="AJ52" s="80"/>
      <c r="AK52" s="80"/>
      <c r="AL52" s="80">
        <v>8</v>
      </c>
      <c r="AM52" s="80">
        <v>8</v>
      </c>
      <c r="AN52" s="79">
        <v>10</v>
      </c>
      <c r="AO52" s="81"/>
    </row>
    <row r="53" spans="1:41" x14ac:dyDescent="0.3">
      <c r="A53" s="46">
        <v>3729</v>
      </c>
      <c r="B53" s="53">
        <v>54</v>
      </c>
      <c r="C53" s="28" t="s">
        <v>186</v>
      </c>
      <c r="D53" s="28" t="s">
        <v>187</v>
      </c>
      <c r="E53" s="60" t="s">
        <v>233</v>
      </c>
      <c r="F53" s="46" t="s">
        <v>30</v>
      </c>
      <c r="G53" s="46" t="s">
        <v>31</v>
      </c>
      <c r="H53" s="58" t="s">
        <v>234</v>
      </c>
      <c r="I53" s="27" t="s">
        <v>235</v>
      </c>
      <c r="J53" s="58" t="s">
        <v>236</v>
      </c>
      <c r="K53" s="49">
        <f t="shared" si="0"/>
        <v>0.94117647058823528</v>
      </c>
      <c r="L53" s="50">
        <f t="shared" si="1"/>
        <v>160</v>
      </c>
      <c r="M53" s="79">
        <v>8</v>
      </c>
      <c r="N53" s="80">
        <v>8</v>
      </c>
      <c r="O53" s="80">
        <v>8</v>
      </c>
      <c r="P53" s="80">
        <v>0</v>
      </c>
      <c r="Q53" s="80">
        <v>0</v>
      </c>
      <c r="R53" s="80">
        <v>8</v>
      </c>
      <c r="S53" s="79">
        <v>8</v>
      </c>
      <c r="T53" s="79">
        <v>8</v>
      </c>
      <c r="U53" s="80">
        <v>8</v>
      </c>
      <c r="V53" s="80">
        <v>8</v>
      </c>
      <c r="W53" s="80">
        <v>0</v>
      </c>
      <c r="X53" s="80">
        <v>0</v>
      </c>
      <c r="Y53" s="80">
        <v>8</v>
      </c>
      <c r="Z53" s="79">
        <v>8</v>
      </c>
      <c r="AA53" s="79">
        <v>8</v>
      </c>
      <c r="AB53" s="80">
        <v>8</v>
      </c>
      <c r="AC53" s="80">
        <v>8</v>
      </c>
      <c r="AD53" s="80">
        <v>0</v>
      </c>
      <c r="AE53" s="80">
        <v>0</v>
      </c>
      <c r="AF53" s="80">
        <v>8</v>
      </c>
      <c r="AG53" s="79">
        <v>8</v>
      </c>
      <c r="AH53" s="79">
        <v>8</v>
      </c>
      <c r="AI53" s="80">
        <v>8</v>
      </c>
      <c r="AJ53" s="80">
        <v>8</v>
      </c>
      <c r="AK53" s="80">
        <v>0</v>
      </c>
      <c r="AL53" s="80">
        <v>0</v>
      </c>
      <c r="AM53" s="80">
        <v>8</v>
      </c>
      <c r="AN53" s="79">
        <v>8</v>
      </c>
      <c r="AO53" s="81"/>
    </row>
    <row r="54" spans="1:41" x14ac:dyDescent="0.3">
      <c r="A54" s="46">
        <v>3676</v>
      </c>
      <c r="B54" s="47">
        <v>55</v>
      </c>
      <c r="C54" s="48" t="s">
        <v>71</v>
      </c>
      <c r="D54" s="48" t="s">
        <v>237</v>
      </c>
      <c r="E54" s="48" t="s">
        <v>238</v>
      </c>
      <c r="F54" s="46" t="s">
        <v>30</v>
      </c>
      <c r="G54" s="61" t="s">
        <v>239</v>
      </c>
      <c r="H54" s="62" t="s">
        <v>240</v>
      </c>
      <c r="I54" s="61" t="s">
        <v>241</v>
      </c>
      <c r="J54" s="61" t="s">
        <v>242</v>
      </c>
      <c r="K54" s="49">
        <f t="shared" si="0"/>
        <v>0.94117647058823528</v>
      </c>
      <c r="L54" s="50">
        <f t="shared" si="1"/>
        <v>160</v>
      </c>
      <c r="M54" s="79"/>
      <c r="N54" s="80">
        <v>8</v>
      </c>
      <c r="O54" s="80">
        <v>8</v>
      </c>
      <c r="P54" s="80">
        <v>8</v>
      </c>
      <c r="Q54" s="80">
        <v>8</v>
      </c>
      <c r="R54" s="80">
        <v>8</v>
      </c>
      <c r="S54" s="79"/>
      <c r="T54" s="79"/>
      <c r="U54" s="80">
        <v>8</v>
      </c>
      <c r="V54" s="80">
        <v>8</v>
      </c>
      <c r="W54" s="80">
        <v>8</v>
      </c>
      <c r="X54" s="80">
        <v>8</v>
      </c>
      <c r="Y54" s="80">
        <v>8</v>
      </c>
      <c r="Z54" s="79"/>
      <c r="AA54" s="79"/>
      <c r="AB54" s="80">
        <v>8</v>
      </c>
      <c r="AC54" s="80">
        <v>8</v>
      </c>
      <c r="AD54" s="80">
        <v>8</v>
      </c>
      <c r="AE54" s="80">
        <v>8</v>
      </c>
      <c r="AF54" s="80">
        <v>8</v>
      </c>
      <c r="AG54" s="79"/>
      <c r="AH54" s="79"/>
      <c r="AI54" s="80">
        <v>8</v>
      </c>
      <c r="AJ54" s="80">
        <v>8</v>
      </c>
      <c r="AK54" s="80">
        <v>8</v>
      </c>
      <c r="AL54" s="80">
        <v>8</v>
      </c>
      <c r="AM54" s="80">
        <v>8</v>
      </c>
      <c r="AN54" s="79"/>
      <c r="AO54" s="25"/>
    </row>
    <row r="55" spans="1:41" x14ac:dyDescent="0.3">
      <c r="A55" s="46">
        <v>608</v>
      </c>
      <c r="B55" s="51">
        <v>56</v>
      </c>
      <c r="C55" s="48" t="s">
        <v>71</v>
      </c>
      <c r="D55" s="48" t="s">
        <v>237</v>
      </c>
      <c r="E55" s="63" t="s">
        <v>243</v>
      </c>
      <c r="F55" s="46" t="s">
        <v>30</v>
      </c>
      <c r="G55" s="61" t="s">
        <v>239</v>
      </c>
      <c r="H55" s="62" t="s">
        <v>244</v>
      </c>
      <c r="I55" s="61" t="s">
        <v>245</v>
      </c>
      <c r="J55" s="61" t="s">
        <v>246</v>
      </c>
      <c r="K55" s="49">
        <f t="shared" si="0"/>
        <v>0.94117647058823528</v>
      </c>
      <c r="L55" s="50">
        <f t="shared" si="1"/>
        <v>160</v>
      </c>
      <c r="M55" s="79"/>
      <c r="N55" s="80">
        <v>8</v>
      </c>
      <c r="O55" s="80">
        <v>8</v>
      </c>
      <c r="P55" s="80">
        <v>8</v>
      </c>
      <c r="Q55" s="80">
        <v>8</v>
      </c>
      <c r="R55" s="80">
        <v>8</v>
      </c>
      <c r="S55" s="79"/>
      <c r="T55" s="79"/>
      <c r="U55" s="80">
        <v>8</v>
      </c>
      <c r="V55" s="80">
        <v>8</v>
      </c>
      <c r="W55" s="80">
        <v>8</v>
      </c>
      <c r="X55" s="80">
        <v>8</v>
      </c>
      <c r="Y55" s="80">
        <v>8</v>
      </c>
      <c r="Z55" s="79"/>
      <c r="AA55" s="79"/>
      <c r="AB55" s="80">
        <v>8</v>
      </c>
      <c r="AC55" s="80">
        <v>8</v>
      </c>
      <c r="AD55" s="80">
        <v>8</v>
      </c>
      <c r="AE55" s="80">
        <v>8</v>
      </c>
      <c r="AF55" s="80">
        <v>8</v>
      </c>
      <c r="AG55" s="79"/>
      <c r="AH55" s="79"/>
      <c r="AI55" s="80">
        <v>8</v>
      </c>
      <c r="AJ55" s="80">
        <v>8</v>
      </c>
      <c r="AK55" s="80">
        <v>8</v>
      </c>
      <c r="AL55" s="80">
        <v>8</v>
      </c>
      <c r="AM55" s="80">
        <v>8</v>
      </c>
      <c r="AN55" s="79"/>
      <c r="AO55" s="25"/>
    </row>
    <row r="56" spans="1:41" x14ac:dyDescent="0.3">
      <c r="A56" s="46">
        <v>2052</v>
      </c>
      <c r="B56" s="53">
        <v>57</v>
      </c>
      <c r="C56" s="48" t="s">
        <v>71</v>
      </c>
      <c r="D56" s="48" t="s">
        <v>237</v>
      </c>
      <c r="E56" s="48" t="s">
        <v>247</v>
      </c>
      <c r="F56" s="46" t="s">
        <v>30</v>
      </c>
      <c r="G56" s="61" t="s">
        <v>239</v>
      </c>
      <c r="H56" s="62" t="s">
        <v>248</v>
      </c>
      <c r="I56" s="61" t="s">
        <v>249</v>
      </c>
      <c r="J56" s="61" t="s">
        <v>250</v>
      </c>
      <c r="K56" s="49">
        <f t="shared" si="0"/>
        <v>0.94117647058823528</v>
      </c>
      <c r="L56" s="50">
        <f t="shared" si="1"/>
        <v>160</v>
      </c>
      <c r="M56" s="79"/>
      <c r="N56" s="80">
        <v>8</v>
      </c>
      <c r="O56" s="80">
        <v>8</v>
      </c>
      <c r="P56" s="80">
        <v>8</v>
      </c>
      <c r="Q56" s="80">
        <v>8</v>
      </c>
      <c r="R56" s="80">
        <v>8</v>
      </c>
      <c r="S56" s="79"/>
      <c r="T56" s="79"/>
      <c r="U56" s="80">
        <v>8</v>
      </c>
      <c r="V56" s="80">
        <v>8</v>
      </c>
      <c r="W56" s="80">
        <v>8</v>
      </c>
      <c r="X56" s="80">
        <v>8</v>
      </c>
      <c r="Y56" s="80">
        <v>8</v>
      </c>
      <c r="Z56" s="79"/>
      <c r="AA56" s="79"/>
      <c r="AB56" s="80">
        <v>8</v>
      </c>
      <c r="AC56" s="80">
        <v>8</v>
      </c>
      <c r="AD56" s="80">
        <v>8</v>
      </c>
      <c r="AE56" s="80">
        <v>8</v>
      </c>
      <c r="AF56" s="80">
        <v>8</v>
      </c>
      <c r="AG56" s="79"/>
      <c r="AH56" s="79"/>
      <c r="AI56" s="80">
        <v>8</v>
      </c>
      <c r="AJ56" s="80">
        <v>8</v>
      </c>
      <c r="AK56" s="80">
        <v>8</v>
      </c>
      <c r="AL56" s="80">
        <v>8</v>
      </c>
      <c r="AM56" s="80">
        <v>8</v>
      </c>
      <c r="AN56" s="79"/>
      <c r="AO56" s="25"/>
    </row>
    <row r="57" spans="1:41" x14ac:dyDescent="0.3">
      <c r="A57" s="46">
        <v>1652</v>
      </c>
      <c r="B57" s="47">
        <v>58</v>
      </c>
      <c r="C57" s="48" t="s">
        <v>71</v>
      </c>
      <c r="D57" s="48" t="s">
        <v>237</v>
      </c>
      <c r="E57" s="48" t="s">
        <v>251</v>
      </c>
      <c r="F57" s="46" t="s">
        <v>30</v>
      </c>
      <c r="G57" s="61" t="s">
        <v>239</v>
      </c>
      <c r="H57" s="62" t="s">
        <v>252</v>
      </c>
      <c r="I57" s="61">
        <v>89829242551</v>
      </c>
      <c r="J57" s="61" t="s">
        <v>253</v>
      </c>
      <c r="K57" s="49">
        <f t="shared" si="0"/>
        <v>0.94117647058823528</v>
      </c>
      <c r="L57" s="50">
        <f t="shared" si="1"/>
        <v>160</v>
      </c>
      <c r="M57" s="79"/>
      <c r="N57" s="80">
        <v>8</v>
      </c>
      <c r="O57" s="80">
        <v>8</v>
      </c>
      <c r="P57" s="80">
        <v>8</v>
      </c>
      <c r="Q57" s="80">
        <v>8</v>
      </c>
      <c r="R57" s="80">
        <v>8</v>
      </c>
      <c r="S57" s="79"/>
      <c r="T57" s="79"/>
      <c r="U57" s="80">
        <v>8</v>
      </c>
      <c r="V57" s="80">
        <v>8</v>
      </c>
      <c r="W57" s="80">
        <v>8</v>
      </c>
      <c r="X57" s="80">
        <v>8</v>
      </c>
      <c r="Y57" s="80">
        <v>8</v>
      </c>
      <c r="Z57" s="79"/>
      <c r="AA57" s="79"/>
      <c r="AB57" s="80">
        <v>8</v>
      </c>
      <c r="AC57" s="80">
        <v>8</v>
      </c>
      <c r="AD57" s="80">
        <v>8</v>
      </c>
      <c r="AE57" s="80">
        <v>8</v>
      </c>
      <c r="AF57" s="80">
        <v>8</v>
      </c>
      <c r="AG57" s="79"/>
      <c r="AH57" s="79"/>
      <c r="AI57" s="80">
        <v>8</v>
      </c>
      <c r="AJ57" s="80">
        <v>8</v>
      </c>
      <c r="AK57" s="80">
        <v>8</v>
      </c>
      <c r="AL57" s="80">
        <v>8</v>
      </c>
      <c r="AM57" s="80">
        <v>8</v>
      </c>
      <c r="AN57" s="79"/>
      <c r="AO57" s="25"/>
    </row>
    <row r="58" spans="1:41" x14ac:dyDescent="0.3">
      <c r="A58" s="46">
        <v>693</v>
      </c>
      <c r="B58" s="51">
        <v>59</v>
      </c>
      <c r="C58" s="48" t="s">
        <v>71</v>
      </c>
      <c r="D58" s="48" t="s">
        <v>237</v>
      </c>
      <c r="E58" s="48" t="s">
        <v>254</v>
      </c>
      <c r="F58" s="46" t="s">
        <v>30</v>
      </c>
      <c r="G58" s="61" t="s">
        <v>239</v>
      </c>
      <c r="H58" s="62" t="s">
        <v>255</v>
      </c>
      <c r="I58" s="61" t="s">
        <v>256</v>
      </c>
      <c r="J58" s="61" t="s">
        <v>257</v>
      </c>
      <c r="K58" s="49">
        <f t="shared" si="0"/>
        <v>0.94117647058823528</v>
      </c>
      <c r="L58" s="50">
        <f t="shared" si="1"/>
        <v>160</v>
      </c>
      <c r="M58" s="79"/>
      <c r="N58" s="80">
        <v>8</v>
      </c>
      <c r="O58" s="80">
        <v>8</v>
      </c>
      <c r="P58" s="80">
        <v>8</v>
      </c>
      <c r="Q58" s="80">
        <v>8</v>
      </c>
      <c r="R58" s="80">
        <v>8</v>
      </c>
      <c r="S58" s="79"/>
      <c r="T58" s="79"/>
      <c r="U58" s="80">
        <v>8</v>
      </c>
      <c r="V58" s="80">
        <v>8</v>
      </c>
      <c r="W58" s="80">
        <v>8</v>
      </c>
      <c r="X58" s="80">
        <v>8</v>
      </c>
      <c r="Y58" s="80">
        <v>8</v>
      </c>
      <c r="Z58" s="79"/>
      <c r="AA58" s="79"/>
      <c r="AB58" s="80">
        <v>8</v>
      </c>
      <c r="AC58" s="80">
        <v>8</v>
      </c>
      <c r="AD58" s="80">
        <v>8</v>
      </c>
      <c r="AE58" s="80">
        <v>8</v>
      </c>
      <c r="AF58" s="80">
        <v>8</v>
      </c>
      <c r="AG58" s="79"/>
      <c r="AH58" s="79"/>
      <c r="AI58" s="80">
        <v>8</v>
      </c>
      <c r="AJ58" s="80">
        <v>8</v>
      </c>
      <c r="AK58" s="80">
        <v>8</v>
      </c>
      <c r="AL58" s="80">
        <v>8</v>
      </c>
      <c r="AM58" s="80">
        <v>8</v>
      </c>
      <c r="AN58" s="79"/>
      <c r="AO58" s="25"/>
    </row>
    <row r="59" spans="1:41" x14ac:dyDescent="0.3">
      <c r="A59" s="46">
        <v>1999</v>
      </c>
      <c r="B59" s="53">
        <v>60</v>
      </c>
      <c r="C59" s="48" t="s">
        <v>71</v>
      </c>
      <c r="D59" s="48" t="s">
        <v>237</v>
      </c>
      <c r="E59" s="64" t="s">
        <v>258</v>
      </c>
      <c r="F59" s="65" t="s">
        <v>30</v>
      </c>
      <c r="G59" s="66" t="s">
        <v>239</v>
      </c>
      <c r="H59" s="62" t="s">
        <v>255</v>
      </c>
      <c r="I59" s="61" t="s">
        <v>256</v>
      </c>
      <c r="J59" s="61" t="s">
        <v>257</v>
      </c>
      <c r="K59" s="49">
        <f t="shared" si="0"/>
        <v>0.94117647058823528</v>
      </c>
      <c r="L59" s="50">
        <f t="shared" si="1"/>
        <v>160</v>
      </c>
      <c r="M59" s="82"/>
      <c r="N59" s="83">
        <v>8</v>
      </c>
      <c r="O59" s="83">
        <v>8</v>
      </c>
      <c r="P59" s="83">
        <v>8</v>
      </c>
      <c r="Q59" s="83">
        <v>8</v>
      </c>
      <c r="R59" s="83">
        <v>8</v>
      </c>
      <c r="S59" s="82"/>
      <c r="T59" s="82"/>
      <c r="U59" s="83">
        <v>8</v>
      </c>
      <c r="V59" s="83">
        <v>8</v>
      </c>
      <c r="W59" s="83">
        <v>8</v>
      </c>
      <c r="X59" s="83">
        <v>8</v>
      </c>
      <c r="Y59" s="83">
        <v>8</v>
      </c>
      <c r="Z59" s="82"/>
      <c r="AA59" s="82"/>
      <c r="AB59" s="83">
        <v>8</v>
      </c>
      <c r="AC59" s="83">
        <v>8</v>
      </c>
      <c r="AD59" s="83">
        <v>8</v>
      </c>
      <c r="AE59" s="83">
        <v>8</v>
      </c>
      <c r="AF59" s="83">
        <v>8</v>
      </c>
      <c r="AG59" s="82"/>
      <c r="AH59" s="82"/>
      <c r="AI59" s="83">
        <v>8</v>
      </c>
      <c r="AJ59" s="83">
        <v>8</v>
      </c>
      <c r="AK59" s="83">
        <v>8</v>
      </c>
      <c r="AL59" s="83">
        <v>8</v>
      </c>
      <c r="AM59" s="83">
        <v>8</v>
      </c>
      <c r="AN59" s="82"/>
      <c r="AO59" s="25"/>
    </row>
    <row r="60" spans="1:41" x14ac:dyDescent="0.3">
      <c r="A60" s="46">
        <v>1527</v>
      </c>
      <c r="B60" s="47">
        <v>61</v>
      </c>
      <c r="C60" s="48" t="s">
        <v>27</v>
      </c>
      <c r="D60" s="48" t="s">
        <v>259</v>
      </c>
      <c r="E60" s="48" t="s">
        <v>260</v>
      </c>
      <c r="F60" s="46" t="s">
        <v>30</v>
      </c>
      <c r="G60" s="61" t="s">
        <v>239</v>
      </c>
      <c r="H60" s="62" t="s">
        <v>261</v>
      </c>
      <c r="I60" s="61" t="s">
        <v>262</v>
      </c>
      <c r="J60" s="61" t="s">
        <v>263</v>
      </c>
      <c r="K60" s="49">
        <f t="shared" si="0"/>
        <v>1</v>
      </c>
      <c r="L60" s="50">
        <f t="shared" si="1"/>
        <v>170</v>
      </c>
      <c r="M60" s="79">
        <v>11</v>
      </c>
      <c r="N60" s="80">
        <v>11</v>
      </c>
      <c r="O60" s="80"/>
      <c r="P60" s="80">
        <v>11</v>
      </c>
      <c r="Q60" s="80">
        <v>11</v>
      </c>
      <c r="R60" s="80"/>
      <c r="S60" s="79"/>
      <c r="T60" s="79">
        <v>11</v>
      </c>
      <c r="U60" s="80">
        <v>11</v>
      </c>
      <c r="V60" s="80"/>
      <c r="W60" s="80"/>
      <c r="X60" s="80">
        <v>11</v>
      </c>
      <c r="Y60" s="80">
        <v>11</v>
      </c>
      <c r="Z60" s="79"/>
      <c r="AA60" s="79"/>
      <c r="AB60" s="80">
        <v>11</v>
      </c>
      <c r="AC60" s="80">
        <v>11</v>
      </c>
      <c r="AD60" s="80"/>
      <c r="AE60" s="80"/>
      <c r="AF60" s="80">
        <v>12</v>
      </c>
      <c r="AG60" s="79">
        <v>12</v>
      </c>
      <c r="AH60" s="79"/>
      <c r="AI60" s="80"/>
      <c r="AJ60" s="80">
        <v>12</v>
      </c>
      <c r="AK60" s="80">
        <v>12</v>
      </c>
      <c r="AL60" s="80"/>
      <c r="AM60" s="80"/>
      <c r="AN60" s="79">
        <v>12</v>
      </c>
      <c r="AO60" s="25"/>
    </row>
    <row r="61" spans="1:41" x14ac:dyDescent="0.3">
      <c r="A61" s="46">
        <v>1915</v>
      </c>
      <c r="B61" s="53">
        <v>63</v>
      </c>
      <c r="C61" s="48" t="s">
        <v>71</v>
      </c>
      <c r="D61" s="48" t="s">
        <v>72</v>
      </c>
      <c r="E61" s="67" t="s">
        <v>269</v>
      </c>
      <c r="F61" s="46" t="s">
        <v>30</v>
      </c>
      <c r="G61" s="61" t="s">
        <v>239</v>
      </c>
      <c r="H61" s="62" t="s">
        <v>270</v>
      </c>
      <c r="I61" s="61">
        <v>79526779943</v>
      </c>
      <c r="J61" s="61" t="s">
        <v>271</v>
      </c>
      <c r="K61" s="49">
        <f t="shared" si="0"/>
        <v>2</v>
      </c>
      <c r="L61" s="50">
        <f t="shared" si="1"/>
        <v>340</v>
      </c>
      <c r="M61" s="79">
        <v>13</v>
      </c>
      <c r="N61" s="80">
        <v>20</v>
      </c>
      <c r="O61" s="80">
        <v>8</v>
      </c>
      <c r="P61" s="80">
        <v>8</v>
      </c>
      <c r="Q61" s="80">
        <v>20</v>
      </c>
      <c r="R61" s="80">
        <v>20</v>
      </c>
      <c r="S61" s="79">
        <v>0</v>
      </c>
      <c r="T61" s="79">
        <v>0</v>
      </c>
      <c r="U61" s="80">
        <v>20</v>
      </c>
      <c r="V61" s="80">
        <v>20</v>
      </c>
      <c r="W61" s="80">
        <v>8</v>
      </c>
      <c r="X61" s="80">
        <v>8</v>
      </c>
      <c r="Y61" s="80">
        <v>20</v>
      </c>
      <c r="Z61" s="79">
        <v>13</v>
      </c>
      <c r="AA61" s="79">
        <v>0</v>
      </c>
      <c r="AB61" s="80">
        <v>8</v>
      </c>
      <c r="AC61" s="80">
        <v>20</v>
      </c>
      <c r="AD61" s="80">
        <v>20</v>
      </c>
      <c r="AE61" s="80">
        <v>8</v>
      </c>
      <c r="AF61" s="80">
        <v>8</v>
      </c>
      <c r="AG61" s="79">
        <v>17</v>
      </c>
      <c r="AH61" s="79">
        <v>17</v>
      </c>
      <c r="AI61" s="80">
        <v>8</v>
      </c>
      <c r="AJ61" s="80">
        <v>8</v>
      </c>
      <c r="AK61" s="80">
        <v>20</v>
      </c>
      <c r="AL61" s="80">
        <v>20</v>
      </c>
      <c r="AM61" s="80">
        <v>8</v>
      </c>
      <c r="AN61" s="79">
        <v>0</v>
      </c>
      <c r="AO61" s="25"/>
    </row>
    <row r="62" spans="1:41" x14ac:dyDescent="0.3">
      <c r="A62" s="46">
        <v>2487</v>
      </c>
      <c r="B62" s="47">
        <v>64</v>
      </c>
      <c r="C62" s="48" t="s">
        <v>71</v>
      </c>
      <c r="D62" s="48" t="s">
        <v>72</v>
      </c>
      <c r="E62" s="7" t="s">
        <v>272</v>
      </c>
      <c r="F62" s="46" t="s">
        <v>30</v>
      </c>
      <c r="G62" s="61" t="s">
        <v>239</v>
      </c>
      <c r="H62" s="62" t="s">
        <v>273</v>
      </c>
      <c r="I62" s="61">
        <v>79199298133</v>
      </c>
      <c r="J62" s="61" t="s">
        <v>274</v>
      </c>
      <c r="K62" s="49">
        <f t="shared" si="0"/>
        <v>1</v>
      </c>
      <c r="L62" s="50">
        <f t="shared" si="1"/>
        <v>170</v>
      </c>
      <c r="M62" s="79"/>
      <c r="N62" s="80">
        <v>8</v>
      </c>
      <c r="O62" s="80">
        <v>8</v>
      </c>
      <c r="P62" s="80">
        <v>8</v>
      </c>
      <c r="Q62" s="80">
        <v>8</v>
      </c>
      <c r="R62" s="80">
        <v>8</v>
      </c>
      <c r="S62" s="79">
        <v>5</v>
      </c>
      <c r="T62" s="79">
        <v>5</v>
      </c>
      <c r="U62" s="80">
        <v>8</v>
      </c>
      <c r="V62" s="80">
        <v>8</v>
      </c>
      <c r="W62" s="80">
        <v>8</v>
      </c>
      <c r="X62" s="80">
        <v>8</v>
      </c>
      <c r="Y62" s="80">
        <v>8</v>
      </c>
      <c r="Z62" s="79"/>
      <c r="AA62" s="79"/>
      <c r="AB62" s="80">
        <v>8</v>
      </c>
      <c r="AC62" s="80">
        <v>8</v>
      </c>
      <c r="AD62" s="80">
        <v>8</v>
      </c>
      <c r="AE62" s="80">
        <v>8</v>
      </c>
      <c r="AF62" s="80">
        <v>8</v>
      </c>
      <c r="AG62" s="79"/>
      <c r="AH62" s="79"/>
      <c r="AI62" s="80">
        <v>8</v>
      </c>
      <c r="AJ62" s="80">
        <v>8</v>
      </c>
      <c r="AK62" s="80">
        <v>8</v>
      </c>
      <c r="AL62" s="80">
        <v>8</v>
      </c>
      <c r="AM62" s="80">
        <v>8</v>
      </c>
      <c r="AN62" s="79"/>
      <c r="AO62" s="25"/>
    </row>
    <row r="63" spans="1:41" x14ac:dyDescent="0.3">
      <c r="A63" s="46">
        <v>695</v>
      </c>
      <c r="B63" s="51">
        <v>65</v>
      </c>
      <c r="C63" s="48" t="s">
        <v>71</v>
      </c>
      <c r="D63" s="48" t="s">
        <v>72</v>
      </c>
      <c r="E63" s="7" t="s">
        <v>275</v>
      </c>
      <c r="F63" s="46" t="s">
        <v>30</v>
      </c>
      <c r="G63" s="61" t="s">
        <v>239</v>
      </c>
      <c r="H63" s="62" t="s">
        <v>276</v>
      </c>
      <c r="I63" s="61">
        <v>79827886224</v>
      </c>
      <c r="J63" s="61" t="s">
        <v>277</v>
      </c>
      <c r="K63" s="49">
        <f t="shared" si="0"/>
        <v>1</v>
      </c>
      <c r="L63" s="50">
        <f t="shared" si="1"/>
        <v>170</v>
      </c>
      <c r="M63" s="79"/>
      <c r="N63" s="80">
        <v>8</v>
      </c>
      <c r="O63" s="80">
        <v>8</v>
      </c>
      <c r="P63" s="80">
        <v>8</v>
      </c>
      <c r="Q63" s="80">
        <v>8</v>
      </c>
      <c r="R63" s="80">
        <v>8</v>
      </c>
      <c r="S63" s="79"/>
      <c r="T63" s="79"/>
      <c r="U63" s="80">
        <v>8</v>
      </c>
      <c r="V63" s="80">
        <v>8</v>
      </c>
      <c r="W63" s="80">
        <v>8</v>
      </c>
      <c r="X63" s="80">
        <v>8</v>
      </c>
      <c r="Y63" s="80">
        <v>8</v>
      </c>
      <c r="Z63" s="79">
        <v>5</v>
      </c>
      <c r="AA63" s="79">
        <v>5</v>
      </c>
      <c r="AB63" s="80">
        <v>8</v>
      </c>
      <c r="AC63" s="80">
        <v>8</v>
      </c>
      <c r="AD63" s="80">
        <v>8</v>
      </c>
      <c r="AE63" s="80">
        <v>8</v>
      </c>
      <c r="AF63" s="80">
        <v>8</v>
      </c>
      <c r="AG63" s="79"/>
      <c r="AH63" s="79"/>
      <c r="AI63" s="80">
        <v>8</v>
      </c>
      <c r="AJ63" s="80">
        <v>8</v>
      </c>
      <c r="AK63" s="80">
        <v>8</v>
      </c>
      <c r="AL63" s="80">
        <v>8</v>
      </c>
      <c r="AM63" s="80">
        <v>8</v>
      </c>
      <c r="AN63" s="79"/>
      <c r="AO63" s="25"/>
    </row>
    <row r="64" spans="1:41" x14ac:dyDescent="0.3">
      <c r="A64" s="46">
        <v>3579</v>
      </c>
      <c r="B64" s="53">
        <v>66</v>
      </c>
      <c r="C64" s="48" t="s">
        <v>71</v>
      </c>
      <c r="D64" s="48" t="s">
        <v>72</v>
      </c>
      <c r="E64" s="7" t="s">
        <v>278</v>
      </c>
      <c r="F64" s="46" t="s">
        <v>30</v>
      </c>
      <c r="G64" s="61" t="s">
        <v>31</v>
      </c>
      <c r="H64" s="62" t="s">
        <v>279</v>
      </c>
      <c r="I64" s="61">
        <v>79966398185</v>
      </c>
      <c r="J64" s="61" t="s">
        <v>280</v>
      </c>
      <c r="K64" s="49">
        <f t="shared" si="0"/>
        <v>1</v>
      </c>
      <c r="L64" s="50">
        <f t="shared" si="1"/>
        <v>170</v>
      </c>
      <c r="M64" s="79"/>
      <c r="N64" s="80">
        <v>8</v>
      </c>
      <c r="O64" s="80">
        <v>8</v>
      </c>
      <c r="P64" s="80">
        <v>8</v>
      </c>
      <c r="Q64" s="80">
        <v>8</v>
      </c>
      <c r="R64" s="80">
        <v>8</v>
      </c>
      <c r="S64" s="79">
        <v>5</v>
      </c>
      <c r="T64" s="79">
        <v>5</v>
      </c>
      <c r="U64" s="80">
        <v>8</v>
      </c>
      <c r="V64" s="80">
        <v>8</v>
      </c>
      <c r="W64" s="80">
        <v>8</v>
      </c>
      <c r="X64" s="80">
        <v>8</v>
      </c>
      <c r="Y64" s="80">
        <v>8</v>
      </c>
      <c r="Z64" s="79"/>
      <c r="AA64" s="79"/>
      <c r="AB64" s="80">
        <v>8</v>
      </c>
      <c r="AC64" s="80">
        <v>8</v>
      </c>
      <c r="AD64" s="80">
        <v>8</v>
      </c>
      <c r="AE64" s="80">
        <v>8</v>
      </c>
      <c r="AF64" s="80">
        <v>8</v>
      </c>
      <c r="AG64" s="79"/>
      <c r="AH64" s="79"/>
      <c r="AI64" s="80">
        <v>8</v>
      </c>
      <c r="AJ64" s="80">
        <v>8</v>
      </c>
      <c r="AK64" s="80">
        <v>8</v>
      </c>
      <c r="AL64" s="80">
        <v>8</v>
      </c>
      <c r="AM64" s="80">
        <v>8</v>
      </c>
      <c r="AN64" s="79"/>
      <c r="AO64" s="25"/>
    </row>
    <row r="65" spans="1:41" x14ac:dyDescent="0.3">
      <c r="A65" s="46">
        <v>2849</v>
      </c>
      <c r="B65" s="47">
        <v>67</v>
      </c>
      <c r="C65" s="48" t="s">
        <v>71</v>
      </c>
      <c r="D65" s="48" t="s">
        <v>72</v>
      </c>
      <c r="E65" s="68" t="s">
        <v>281</v>
      </c>
      <c r="F65" s="65" t="s">
        <v>30</v>
      </c>
      <c r="G65" s="66" t="s">
        <v>31</v>
      </c>
      <c r="H65" s="62" t="s">
        <v>282</v>
      </c>
      <c r="I65" s="61">
        <v>79088784368</v>
      </c>
      <c r="J65" s="61" t="s">
        <v>283</v>
      </c>
      <c r="K65" s="49">
        <f t="shared" si="0"/>
        <v>1</v>
      </c>
      <c r="L65" s="50">
        <f t="shared" si="1"/>
        <v>170</v>
      </c>
      <c r="M65" s="82"/>
      <c r="N65" s="83">
        <v>8</v>
      </c>
      <c r="O65" s="83">
        <v>8</v>
      </c>
      <c r="P65" s="83">
        <v>8</v>
      </c>
      <c r="Q65" s="83">
        <v>8</v>
      </c>
      <c r="R65" s="83">
        <v>8</v>
      </c>
      <c r="S65" s="82"/>
      <c r="T65" s="82"/>
      <c r="U65" s="83">
        <v>8</v>
      </c>
      <c r="V65" s="83">
        <v>8</v>
      </c>
      <c r="W65" s="83">
        <v>8</v>
      </c>
      <c r="X65" s="83">
        <v>8</v>
      </c>
      <c r="Y65" s="83">
        <v>8</v>
      </c>
      <c r="Z65" s="82"/>
      <c r="AA65" s="82"/>
      <c r="AB65" s="83">
        <v>8</v>
      </c>
      <c r="AC65" s="83">
        <v>8</v>
      </c>
      <c r="AD65" s="83">
        <v>8</v>
      </c>
      <c r="AE65" s="83">
        <v>8</v>
      </c>
      <c r="AF65" s="83">
        <v>8</v>
      </c>
      <c r="AG65" s="82">
        <v>5</v>
      </c>
      <c r="AH65" s="82">
        <v>5</v>
      </c>
      <c r="AI65" s="83">
        <v>8</v>
      </c>
      <c r="AJ65" s="83">
        <v>8</v>
      </c>
      <c r="AK65" s="83">
        <v>8</v>
      </c>
      <c r="AL65" s="83">
        <v>8</v>
      </c>
      <c r="AM65" s="83">
        <v>8</v>
      </c>
      <c r="AN65" s="82"/>
      <c r="AO65" s="25"/>
    </row>
    <row r="66" spans="1:41" x14ac:dyDescent="0.3">
      <c r="A66" s="46">
        <v>2695</v>
      </c>
      <c r="B66" s="47">
        <v>68</v>
      </c>
      <c r="C66" s="48" t="s">
        <v>192</v>
      </c>
      <c r="D66" s="48" t="s">
        <v>264</v>
      </c>
      <c r="E66" s="48" t="s">
        <v>284</v>
      </c>
      <c r="F66" s="65" t="s">
        <v>30</v>
      </c>
      <c r="G66" s="66" t="s">
        <v>31</v>
      </c>
      <c r="H66" s="62" t="s">
        <v>266</v>
      </c>
      <c r="I66" s="27" t="s">
        <v>267</v>
      </c>
      <c r="J66" s="58" t="s">
        <v>268</v>
      </c>
      <c r="K66" s="49">
        <f t="shared" si="0"/>
        <v>0.70588235294117652</v>
      </c>
      <c r="L66" s="50">
        <f t="shared" si="1"/>
        <v>120</v>
      </c>
      <c r="M66" s="79">
        <v>6</v>
      </c>
      <c r="N66" s="80">
        <v>6</v>
      </c>
      <c r="O66" s="80"/>
      <c r="P66" s="80"/>
      <c r="Q66" s="80">
        <v>6</v>
      </c>
      <c r="R66" s="80">
        <v>6</v>
      </c>
      <c r="S66" s="79">
        <v>6</v>
      </c>
      <c r="T66" s="79">
        <v>6</v>
      </c>
      <c r="U66" s="80">
        <v>6</v>
      </c>
      <c r="V66" s="80"/>
      <c r="W66" s="80"/>
      <c r="X66" s="80">
        <v>6</v>
      </c>
      <c r="Y66" s="80">
        <v>6</v>
      </c>
      <c r="Z66" s="79">
        <v>6</v>
      </c>
      <c r="AA66" s="79">
        <v>6</v>
      </c>
      <c r="AB66" s="80">
        <v>6</v>
      </c>
      <c r="AC66" s="80"/>
      <c r="AD66" s="80"/>
      <c r="AE66" s="80">
        <v>6</v>
      </c>
      <c r="AF66" s="80">
        <v>6</v>
      </c>
      <c r="AG66" s="79">
        <v>6</v>
      </c>
      <c r="AH66" s="79">
        <v>6</v>
      </c>
      <c r="AI66" s="80">
        <v>6</v>
      </c>
      <c r="AJ66" s="80"/>
      <c r="AK66" s="80"/>
      <c r="AL66" s="80">
        <v>6</v>
      </c>
      <c r="AM66" s="80">
        <v>6</v>
      </c>
      <c r="AN66" s="79">
        <v>6</v>
      </c>
      <c r="AO66" s="25"/>
    </row>
    <row r="67" spans="1:41" x14ac:dyDescent="0.3">
      <c r="A67" s="46">
        <v>1585</v>
      </c>
      <c r="B67" s="47">
        <v>69</v>
      </c>
      <c r="C67" s="48" t="s">
        <v>285</v>
      </c>
      <c r="D67" s="48" t="s">
        <v>58</v>
      </c>
      <c r="E67" s="48" t="s">
        <v>286</v>
      </c>
      <c r="F67" s="65" t="s">
        <v>30</v>
      </c>
      <c r="G67" s="66" t="s">
        <v>31</v>
      </c>
      <c r="H67" s="58" t="s">
        <v>287</v>
      </c>
      <c r="I67" s="27" t="s">
        <v>288</v>
      </c>
      <c r="J67" s="58" t="s">
        <v>289</v>
      </c>
      <c r="K67" s="49">
        <f t="shared" si="0"/>
        <v>0.94117647058823528</v>
      </c>
      <c r="L67" s="50">
        <f t="shared" si="1"/>
        <v>160</v>
      </c>
      <c r="M67" s="26"/>
      <c r="N67" s="27">
        <v>8</v>
      </c>
      <c r="O67" s="27">
        <v>8</v>
      </c>
      <c r="P67" s="27">
        <v>8</v>
      </c>
      <c r="Q67" s="27">
        <v>8</v>
      </c>
      <c r="R67" s="27">
        <v>8</v>
      </c>
      <c r="S67" s="86"/>
      <c r="T67" s="86"/>
      <c r="U67" s="27">
        <v>8</v>
      </c>
      <c r="V67" s="27">
        <v>8</v>
      </c>
      <c r="W67" s="27">
        <v>8</v>
      </c>
      <c r="X67" s="27">
        <v>8</v>
      </c>
      <c r="Y67" s="27">
        <v>8</v>
      </c>
      <c r="Z67" s="86"/>
      <c r="AA67" s="86"/>
      <c r="AB67" s="27">
        <v>8</v>
      </c>
      <c r="AC67" s="27">
        <v>8</v>
      </c>
      <c r="AD67" s="27">
        <v>8</v>
      </c>
      <c r="AE67" s="27">
        <v>8</v>
      </c>
      <c r="AF67" s="27">
        <v>8</v>
      </c>
      <c r="AG67" s="86"/>
      <c r="AH67" s="86"/>
      <c r="AI67" s="27">
        <v>8</v>
      </c>
      <c r="AJ67" s="27">
        <v>8</v>
      </c>
      <c r="AK67" s="27">
        <v>8</v>
      </c>
      <c r="AL67" s="27">
        <v>8</v>
      </c>
      <c r="AM67" s="27">
        <v>8</v>
      </c>
      <c r="AN67" s="26"/>
      <c r="AO67" s="25"/>
    </row>
    <row r="68" spans="1:41" x14ac:dyDescent="0.3">
      <c r="A68" s="53">
        <v>4399</v>
      </c>
      <c r="B68" s="51">
        <v>70</v>
      </c>
      <c r="C68" s="18" t="s">
        <v>290</v>
      </c>
      <c r="D68" s="69" t="s">
        <v>36</v>
      </c>
      <c r="E68" s="63" t="s">
        <v>291</v>
      </c>
      <c r="F68" s="65" t="s">
        <v>30</v>
      </c>
      <c r="G68" s="66" t="s">
        <v>31</v>
      </c>
      <c r="H68" s="69" t="s">
        <v>36</v>
      </c>
      <c r="I68" s="27">
        <v>89923104895</v>
      </c>
      <c r="J68" s="58" t="s">
        <v>292</v>
      </c>
      <c r="K68" s="49">
        <f t="shared" si="0"/>
        <v>1.8823529411764706</v>
      </c>
      <c r="L68" s="50">
        <f t="shared" si="1"/>
        <v>320</v>
      </c>
      <c r="M68" s="26"/>
      <c r="N68" s="87">
        <v>16</v>
      </c>
      <c r="O68" s="87">
        <v>16</v>
      </c>
      <c r="P68" s="87">
        <v>16</v>
      </c>
      <c r="Q68" s="87">
        <v>16</v>
      </c>
      <c r="R68" s="87">
        <v>16</v>
      </c>
      <c r="S68" s="26"/>
      <c r="T68" s="26"/>
      <c r="U68" s="87">
        <v>16</v>
      </c>
      <c r="V68" s="87">
        <v>16</v>
      </c>
      <c r="W68" s="87">
        <v>16</v>
      </c>
      <c r="X68" s="87">
        <v>16</v>
      </c>
      <c r="Y68" s="87">
        <v>16</v>
      </c>
      <c r="Z68" s="26"/>
      <c r="AA68" s="26"/>
      <c r="AB68" s="87">
        <v>16</v>
      </c>
      <c r="AC68" s="87">
        <v>16</v>
      </c>
      <c r="AD68" s="87">
        <v>16</v>
      </c>
      <c r="AE68" s="87">
        <v>16</v>
      </c>
      <c r="AF68" s="87">
        <v>16</v>
      </c>
      <c r="AG68" s="26"/>
      <c r="AH68" s="26"/>
      <c r="AI68" s="87">
        <v>16</v>
      </c>
      <c r="AJ68" s="87">
        <v>16</v>
      </c>
      <c r="AK68" s="87">
        <v>16</v>
      </c>
      <c r="AL68" s="87">
        <v>16</v>
      </c>
      <c r="AM68" s="87">
        <v>16</v>
      </c>
      <c r="AN68" s="26"/>
      <c r="AO68" s="25"/>
    </row>
    <row r="69" spans="1:41" x14ac:dyDescent="0.3">
      <c r="A69" s="46">
        <v>3913</v>
      </c>
      <c r="B69" s="51">
        <v>71</v>
      </c>
      <c r="C69" s="48" t="s">
        <v>192</v>
      </c>
      <c r="D69" s="48" t="s">
        <v>264</v>
      </c>
      <c r="E69" s="63" t="s">
        <v>265</v>
      </c>
      <c r="F69" s="65" t="s">
        <v>30</v>
      </c>
      <c r="G69" s="66" t="s">
        <v>31</v>
      </c>
      <c r="H69" s="62" t="s">
        <v>266</v>
      </c>
      <c r="I69" s="61" t="s">
        <v>267</v>
      </c>
      <c r="J69" s="62" t="s">
        <v>268</v>
      </c>
      <c r="K69" s="49">
        <f t="shared" ref="K69:K75" si="2">L69/170</f>
        <v>0.9882352941176471</v>
      </c>
      <c r="L69" s="50">
        <f t="shared" ref="L69:L75" si="3">SUM(M69:AN69)</f>
        <v>168</v>
      </c>
      <c r="M69" s="26">
        <v>12</v>
      </c>
      <c r="N69" s="87">
        <v>12</v>
      </c>
      <c r="O69" s="87"/>
      <c r="P69" s="87"/>
      <c r="Q69" s="87">
        <v>12</v>
      </c>
      <c r="R69" s="87">
        <v>12</v>
      </c>
      <c r="S69" s="26"/>
      <c r="T69" s="26"/>
      <c r="U69" s="87">
        <v>12</v>
      </c>
      <c r="V69" s="87">
        <v>12</v>
      </c>
      <c r="W69" s="87"/>
      <c r="X69" s="87"/>
      <c r="Y69" s="87">
        <v>12</v>
      </c>
      <c r="Z69" s="26">
        <v>12</v>
      </c>
      <c r="AA69" s="26"/>
      <c r="AB69" s="87"/>
      <c r="AC69" s="87">
        <v>12</v>
      </c>
      <c r="AD69" s="87">
        <v>12</v>
      </c>
      <c r="AE69" s="87"/>
      <c r="AF69" s="87"/>
      <c r="AG69" s="26">
        <v>12</v>
      </c>
      <c r="AH69" s="26">
        <v>12</v>
      </c>
      <c r="AI69" s="87"/>
      <c r="AJ69" s="87"/>
      <c r="AK69" s="87">
        <v>12</v>
      </c>
      <c r="AL69" s="87">
        <v>12</v>
      </c>
      <c r="AM69" s="87"/>
      <c r="AN69" s="26"/>
      <c r="AO69" s="25"/>
    </row>
    <row r="70" spans="1:41" x14ac:dyDescent="0.3">
      <c r="A70" s="46">
        <v>2102</v>
      </c>
      <c r="B70" s="46">
        <v>72</v>
      </c>
      <c r="C70" s="48" t="s">
        <v>192</v>
      </c>
      <c r="D70" s="48" t="s">
        <v>264</v>
      </c>
      <c r="E70" s="48" t="s">
        <v>293</v>
      </c>
      <c r="F70" s="46" t="s">
        <v>30</v>
      </c>
      <c r="G70" s="61" t="s">
        <v>31</v>
      </c>
      <c r="H70" s="62" t="s">
        <v>294</v>
      </c>
      <c r="I70" s="61">
        <v>79373388003</v>
      </c>
      <c r="J70" s="62" t="s">
        <v>295</v>
      </c>
      <c r="K70" s="49">
        <f t="shared" si="2"/>
        <v>1.9764705882352942</v>
      </c>
      <c r="L70" s="50">
        <f t="shared" si="3"/>
        <v>336</v>
      </c>
      <c r="M70" s="79">
        <v>12</v>
      </c>
      <c r="N70" s="79">
        <v>12</v>
      </c>
      <c r="O70" s="79">
        <v>12</v>
      </c>
      <c r="P70" s="79">
        <v>12</v>
      </c>
      <c r="Q70" s="79">
        <v>12</v>
      </c>
      <c r="R70" s="79">
        <v>12</v>
      </c>
      <c r="S70" s="79">
        <v>12</v>
      </c>
      <c r="T70" s="79">
        <v>12</v>
      </c>
      <c r="U70" s="79">
        <v>12</v>
      </c>
      <c r="V70" s="79">
        <v>12</v>
      </c>
      <c r="W70" s="79">
        <v>12</v>
      </c>
      <c r="X70" s="79">
        <v>12</v>
      </c>
      <c r="Y70" s="79">
        <v>12</v>
      </c>
      <c r="Z70" s="79">
        <v>12</v>
      </c>
      <c r="AA70" s="79">
        <v>12</v>
      </c>
      <c r="AB70" s="79">
        <v>12</v>
      </c>
      <c r="AC70" s="79">
        <v>12</v>
      </c>
      <c r="AD70" s="79">
        <v>12</v>
      </c>
      <c r="AE70" s="79">
        <v>12</v>
      </c>
      <c r="AF70" s="79">
        <v>12</v>
      </c>
      <c r="AG70" s="79">
        <v>12</v>
      </c>
      <c r="AH70" s="79">
        <v>12</v>
      </c>
      <c r="AI70" s="79">
        <v>12</v>
      </c>
      <c r="AJ70" s="79">
        <v>12</v>
      </c>
      <c r="AK70" s="79">
        <v>12</v>
      </c>
      <c r="AL70" s="79">
        <v>12</v>
      </c>
      <c r="AM70" s="79">
        <v>12</v>
      </c>
      <c r="AN70" s="79">
        <v>12</v>
      </c>
      <c r="AO70" s="25"/>
    </row>
    <row r="71" spans="1:41" x14ac:dyDescent="0.3">
      <c r="A71" s="46">
        <v>1936</v>
      </c>
      <c r="B71" s="46">
        <v>73</v>
      </c>
      <c r="C71" s="89" t="s">
        <v>35</v>
      </c>
      <c r="D71" s="89" t="s">
        <v>92</v>
      </c>
      <c r="E71" s="48" t="s">
        <v>303</v>
      </c>
      <c r="F71" s="46" t="s">
        <v>30</v>
      </c>
      <c r="G71" s="61" t="s">
        <v>31</v>
      </c>
      <c r="H71" s="62" t="s">
        <v>304</v>
      </c>
      <c r="I71" s="61" t="s">
        <v>305</v>
      </c>
      <c r="J71" s="62" t="s">
        <v>306</v>
      </c>
      <c r="K71" s="49">
        <f t="shared" si="2"/>
        <v>0.94117647058823528</v>
      </c>
      <c r="L71" s="50">
        <f t="shared" si="3"/>
        <v>160</v>
      </c>
      <c r="M71" s="26"/>
      <c r="N71" s="87">
        <v>8</v>
      </c>
      <c r="O71" s="87">
        <v>8</v>
      </c>
      <c r="P71" s="87">
        <v>8</v>
      </c>
      <c r="Q71" s="87">
        <v>8</v>
      </c>
      <c r="R71" s="87">
        <v>8</v>
      </c>
      <c r="S71" s="26"/>
      <c r="T71" s="26"/>
      <c r="U71" s="87">
        <v>8</v>
      </c>
      <c r="V71" s="87">
        <v>8</v>
      </c>
      <c r="W71" s="87">
        <v>8</v>
      </c>
      <c r="X71" s="87">
        <v>8</v>
      </c>
      <c r="Y71" s="87">
        <v>8</v>
      </c>
      <c r="Z71" s="26"/>
      <c r="AA71" s="26"/>
      <c r="AB71" s="87">
        <v>8</v>
      </c>
      <c r="AC71" s="87">
        <v>8</v>
      </c>
      <c r="AD71" s="87">
        <v>8</v>
      </c>
      <c r="AE71" s="87">
        <v>8</v>
      </c>
      <c r="AF71" s="87">
        <v>8</v>
      </c>
      <c r="AG71" s="26"/>
      <c r="AH71" s="26"/>
      <c r="AI71" s="87">
        <v>8</v>
      </c>
      <c r="AJ71" s="87">
        <v>8</v>
      </c>
      <c r="AK71" s="87">
        <v>8</v>
      </c>
      <c r="AL71" s="87">
        <v>8</v>
      </c>
      <c r="AM71" s="87">
        <v>8</v>
      </c>
      <c r="AN71" s="26"/>
      <c r="AO71" s="25"/>
    </row>
    <row r="72" spans="1:41" x14ac:dyDescent="0.3">
      <c r="A72" s="46">
        <v>2276</v>
      </c>
      <c r="B72" s="46">
        <v>74</v>
      </c>
      <c r="C72" s="89" t="s">
        <v>27</v>
      </c>
      <c r="D72" s="89" t="s">
        <v>105</v>
      </c>
      <c r="E72" s="90" t="s">
        <v>307</v>
      </c>
      <c r="F72" s="46" t="s">
        <v>30</v>
      </c>
      <c r="G72" s="61" t="s">
        <v>31</v>
      </c>
      <c r="H72" s="62" t="s">
        <v>308</v>
      </c>
      <c r="I72" s="61" t="s">
        <v>309</v>
      </c>
      <c r="J72" s="62" t="s">
        <v>310</v>
      </c>
      <c r="K72" s="49">
        <f t="shared" si="2"/>
        <v>0.94117647058823528</v>
      </c>
      <c r="L72" s="50">
        <f t="shared" si="3"/>
        <v>160</v>
      </c>
      <c r="M72" s="26">
        <v>0</v>
      </c>
      <c r="N72" s="87">
        <v>0</v>
      </c>
      <c r="O72" s="87">
        <v>8</v>
      </c>
      <c r="P72" s="87">
        <v>0</v>
      </c>
      <c r="Q72" s="87">
        <v>8</v>
      </c>
      <c r="R72" s="87">
        <v>8</v>
      </c>
      <c r="S72" s="26">
        <v>8</v>
      </c>
      <c r="T72" s="26">
        <v>0</v>
      </c>
      <c r="U72" s="87">
        <v>8</v>
      </c>
      <c r="V72" s="87">
        <v>8</v>
      </c>
      <c r="W72" s="87">
        <v>0</v>
      </c>
      <c r="X72" s="87">
        <v>8</v>
      </c>
      <c r="Y72" s="87">
        <v>8</v>
      </c>
      <c r="Z72" s="26">
        <v>8</v>
      </c>
      <c r="AA72" s="26">
        <v>0</v>
      </c>
      <c r="AB72" s="87">
        <v>8</v>
      </c>
      <c r="AC72" s="87">
        <v>8</v>
      </c>
      <c r="AD72" s="87">
        <v>0</v>
      </c>
      <c r="AE72" s="87">
        <v>8</v>
      </c>
      <c r="AF72" s="87">
        <v>8</v>
      </c>
      <c r="AG72" s="26">
        <v>8</v>
      </c>
      <c r="AH72" s="26">
        <v>8</v>
      </c>
      <c r="AI72" s="87">
        <v>8</v>
      </c>
      <c r="AJ72" s="87">
        <v>8</v>
      </c>
      <c r="AK72" s="87">
        <v>0</v>
      </c>
      <c r="AL72" s="87">
        <v>8</v>
      </c>
      <c r="AM72" s="87">
        <v>8</v>
      </c>
      <c r="AN72" s="26">
        <v>8</v>
      </c>
      <c r="AO72" s="25"/>
    </row>
    <row r="73" spans="1:41" x14ac:dyDescent="0.3">
      <c r="A73" s="46">
        <v>3677</v>
      </c>
      <c r="B73" s="46">
        <v>75</v>
      </c>
      <c r="C73" s="88" t="s">
        <v>192</v>
      </c>
      <c r="D73" s="88" t="s">
        <v>264</v>
      </c>
      <c r="E73" s="101" t="s">
        <v>311</v>
      </c>
      <c r="F73" s="46" t="s">
        <v>30</v>
      </c>
      <c r="G73" s="61" t="s">
        <v>31</v>
      </c>
      <c r="H73" s="48" t="s">
        <v>264</v>
      </c>
      <c r="I73" s="97"/>
      <c r="J73" s="97"/>
      <c r="K73" s="49">
        <f t="shared" si="2"/>
        <v>0.94117647058823528</v>
      </c>
      <c r="L73" s="50">
        <f t="shared" si="3"/>
        <v>160</v>
      </c>
      <c r="M73" s="26"/>
      <c r="N73" s="87">
        <v>8</v>
      </c>
      <c r="O73" s="87">
        <v>8</v>
      </c>
      <c r="P73" s="87">
        <v>8</v>
      </c>
      <c r="Q73" s="87">
        <v>8</v>
      </c>
      <c r="R73" s="87">
        <v>8</v>
      </c>
      <c r="S73" s="26"/>
      <c r="T73" s="26"/>
      <c r="U73" s="87">
        <v>8</v>
      </c>
      <c r="V73" s="87">
        <v>8</v>
      </c>
      <c r="W73" s="87">
        <v>8</v>
      </c>
      <c r="X73" s="87">
        <v>8</v>
      </c>
      <c r="Y73" s="87">
        <v>8</v>
      </c>
      <c r="Z73" s="26"/>
      <c r="AA73" s="26"/>
      <c r="AB73" s="87">
        <v>8</v>
      </c>
      <c r="AC73" s="87">
        <v>8</v>
      </c>
      <c r="AD73" s="87">
        <v>8</v>
      </c>
      <c r="AE73" s="87">
        <v>8</v>
      </c>
      <c r="AF73" s="87">
        <v>8</v>
      </c>
      <c r="AG73" s="26"/>
      <c r="AH73" s="26"/>
      <c r="AI73" s="87">
        <v>8</v>
      </c>
      <c r="AJ73" s="87">
        <v>8</v>
      </c>
      <c r="AK73" s="87">
        <v>8</v>
      </c>
      <c r="AL73" s="87">
        <v>8</v>
      </c>
      <c r="AM73" s="87">
        <v>8</v>
      </c>
      <c r="AN73" s="26"/>
      <c r="AO73" s="25"/>
    </row>
    <row r="74" spans="1:41" x14ac:dyDescent="0.3">
      <c r="A74" s="53">
        <v>1327</v>
      </c>
      <c r="B74" s="46">
        <v>76</v>
      </c>
      <c r="C74" s="88" t="s">
        <v>192</v>
      </c>
      <c r="D74" s="88" t="s">
        <v>264</v>
      </c>
      <c r="E74" s="101" t="s">
        <v>312</v>
      </c>
      <c r="F74" s="46" t="s">
        <v>30</v>
      </c>
      <c r="G74" s="61" t="s">
        <v>31</v>
      </c>
      <c r="H74" s="98" t="s">
        <v>313</v>
      </c>
      <c r="I74" s="99" t="s">
        <v>314</v>
      </c>
      <c r="J74" s="100" t="s">
        <v>315</v>
      </c>
      <c r="K74" s="49">
        <f t="shared" si="2"/>
        <v>0.9882352941176471</v>
      </c>
      <c r="L74" s="50">
        <f t="shared" si="3"/>
        <v>168</v>
      </c>
      <c r="M74" s="26"/>
      <c r="N74" s="87"/>
      <c r="O74" s="87">
        <v>12</v>
      </c>
      <c r="P74" s="87">
        <v>12</v>
      </c>
      <c r="Q74" s="87"/>
      <c r="R74" s="87"/>
      <c r="S74" s="26">
        <v>12</v>
      </c>
      <c r="T74" s="26">
        <v>12</v>
      </c>
      <c r="U74" s="87"/>
      <c r="V74" s="87"/>
      <c r="W74" s="87">
        <v>12</v>
      </c>
      <c r="X74" s="87">
        <v>12</v>
      </c>
      <c r="Y74" s="87"/>
      <c r="Z74" s="26"/>
      <c r="AA74" s="26">
        <v>12</v>
      </c>
      <c r="AB74" s="87">
        <v>12</v>
      </c>
      <c r="AC74" s="87"/>
      <c r="AD74" s="87"/>
      <c r="AE74" s="87">
        <v>12</v>
      </c>
      <c r="AF74" s="87">
        <v>12</v>
      </c>
      <c r="AG74" s="26"/>
      <c r="AH74" s="26"/>
      <c r="AI74" s="87">
        <v>12</v>
      </c>
      <c r="AJ74" s="87">
        <v>12</v>
      </c>
      <c r="AK74" s="87"/>
      <c r="AL74" s="87"/>
      <c r="AM74" s="87">
        <v>12</v>
      </c>
      <c r="AN74" s="26">
        <v>12</v>
      </c>
      <c r="AO74" s="25"/>
    </row>
    <row r="75" spans="1:41" x14ac:dyDescent="0.3">
      <c r="A75" s="46">
        <v>2144</v>
      </c>
      <c r="B75" s="46">
        <v>77</v>
      </c>
      <c r="C75" s="88" t="s">
        <v>192</v>
      </c>
      <c r="D75" s="88" t="s">
        <v>202</v>
      </c>
      <c r="E75" s="101" t="s">
        <v>316</v>
      </c>
      <c r="F75" s="46" t="s">
        <v>30</v>
      </c>
      <c r="G75" s="61" t="s">
        <v>31</v>
      </c>
      <c r="H75" s="98" t="s">
        <v>317</v>
      </c>
      <c r="I75" s="99" t="s">
        <v>318</v>
      </c>
      <c r="J75" s="100" t="s">
        <v>319</v>
      </c>
      <c r="K75" s="49">
        <f t="shared" si="2"/>
        <v>0.94117647058823528</v>
      </c>
      <c r="L75" s="50">
        <f t="shared" si="3"/>
        <v>160</v>
      </c>
      <c r="M75" s="26"/>
      <c r="N75" s="87">
        <v>8</v>
      </c>
      <c r="O75" s="87">
        <v>8</v>
      </c>
      <c r="P75" s="87">
        <v>8</v>
      </c>
      <c r="Q75" s="87">
        <v>8</v>
      </c>
      <c r="R75" s="87">
        <v>8</v>
      </c>
      <c r="S75" s="26"/>
      <c r="T75" s="26"/>
      <c r="U75" s="87">
        <v>8</v>
      </c>
      <c r="V75" s="87">
        <v>8</v>
      </c>
      <c r="W75" s="87">
        <v>8</v>
      </c>
      <c r="X75" s="87">
        <v>8</v>
      </c>
      <c r="Y75" s="87">
        <v>8</v>
      </c>
      <c r="Z75" s="26"/>
      <c r="AA75" s="26"/>
      <c r="AB75" s="87">
        <v>8</v>
      </c>
      <c r="AC75" s="87">
        <v>8</v>
      </c>
      <c r="AD75" s="87">
        <v>8</v>
      </c>
      <c r="AE75" s="87">
        <v>8</v>
      </c>
      <c r="AF75" s="87">
        <v>8</v>
      </c>
      <c r="AG75" s="26"/>
      <c r="AH75" s="26"/>
      <c r="AI75" s="87">
        <v>8</v>
      </c>
      <c r="AJ75" s="87">
        <v>8</v>
      </c>
      <c r="AK75" s="87">
        <v>8</v>
      </c>
      <c r="AL75" s="87">
        <v>8</v>
      </c>
      <c r="AM75" s="87">
        <v>8</v>
      </c>
      <c r="AN75" s="26"/>
    </row>
    <row r="76" spans="1:41" x14ac:dyDescent="0.3">
      <c r="E76" s="73"/>
      <c r="F76" s="70"/>
      <c r="H76" s="71"/>
      <c r="I76" s="70"/>
      <c r="J76" s="70"/>
      <c r="K76" s="74"/>
    </row>
    <row r="77" spans="1:41" x14ac:dyDescent="0.3">
      <c r="E77" s="73"/>
      <c r="F77" s="70"/>
      <c r="H77" s="71"/>
      <c r="I77" s="70"/>
      <c r="J77" s="70"/>
      <c r="K77" s="74"/>
    </row>
    <row r="78" spans="1:41" x14ac:dyDescent="0.3">
      <c r="E78" s="73"/>
      <c r="F78" s="70"/>
      <c r="H78" s="71"/>
      <c r="I78" s="70"/>
      <c r="J78" s="70"/>
      <c r="K78" s="74"/>
    </row>
    <row r="79" spans="1:41" x14ac:dyDescent="0.3">
      <c r="E79" s="73"/>
      <c r="F79" s="70"/>
      <c r="H79" s="71"/>
      <c r="I79" s="70"/>
      <c r="J79" s="70"/>
      <c r="K79" s="74"/>
    </row>
    <row r="80" spans="1:41" x14ac:dyDescent="0.3">
      <c r="E80" s="73"/>
      <c r="F80" s="70"/>
      <c r="H80" s="71"/>
      <c r="I80" s="70"/>
      <c r="J80" s="70"/>
      <c r="K80" s="74"/>
    </row>
    <row r="81" spans="5:11" x14ac:dyDescent="0.3">
      <c r="E81" s="73"/>
      <c r="F81" s="70"/>
      <c r="H81" s="71"/>
      <c r="I81" s="70"/>
      <c r="J81" s="70"/>
      <c r="K81" s="74"/>
    </row>
    <row r="82" spans="5:11" x14ac:dyDescent="0.3">
      <c r="E82" s="73"/>
      <c r="F82" s="70"/>
      <c r="H82" s="71"/>
      <c r="I82" s="70"/>
      <c r="J82" s="70"/>
      <c r="K82" s="74"/>
    </row>
    <row r="83" spans="5:11" x14ac:dyDescent="0.3">
      <c r="E83" s="73"/>
      <c r="F83" s="70"/>
      <c r="H83" s="71"/>
      <c r="I83" s="70"/>
      <c r="J83" s="70"/>
      <c r="K83" s="74"/>
    </row>
    <row r="84" spans="5:11" x14ac:dyDescent="0.3">
      <c r="E84" s="73"/>
      <c r="F84" s="70"/>
      <c r="H84" s="71"/>
      <c r="I84" s="70"/>
      <c r="J84" s="70"/>
      <c r="K84" s="74"/>
    </row>
    <row r="85" spans="5:11" x14ac:dyDescent="0.3">
      <c r="E85" s="73"/>
      <c r="F85" s="70"/>
      <c r="H85" s="71"/>
      <c r="I85" s="70"/>
      <c r="J85" s="70"/>
      <c r="K85" s="74"/>
    </row>
    <row r="86" spans="5:11" x14ac:dyDescent="0.3">
      <c r="E86" s="73"/>
      <c r="F86" s="70"/>
      <c r="H86" s="71"/>
      <c r="I86" s="70"/>
      <c r="J86" s="70"/>
      <c r="K86" s="74"/>
    </row>
    <row r="87" spans="5:11" x14ac:dyDescent="0.3">
      <c r="E87" s="73"/>
      <c r="F87" s="70"/>
      <c r="H87" s="71"/>
      <c r="I87" s="70"/>
      <c r="J87" s="70"/>
      <c r="K87" s="74"/>
    </row>
    <row r="88" spans="5:11" x14ac:dyDescent="0.3">
      <c r="E88" s="73"/>
      <c r="F88" s="70"/>
      <c r="H88" s="71"/>
      <c r="I88" s="70"/>
      <c r="J88" s="70"/>
      <c r="K88" s="74"/>
    </row>
    <row r="89" spans="5:11" x14ac:dyDescent="0.3">
      <c r="E89" s="73"/>
      <c r="F89" s="70"/>
      <c r="H89" s="71"/>
      <c r="I89" s="70"/>
      <c r="J89" s="70"/>
      <c r="K89" s="74"/>
    </row>
    <row r="90" spans="5:11" x14ac:dyDescent="0.3">
      <c r="E90" s="73"/>
      <c r="F90" s="70"/>
      <c r="H90" s="71"/>
      <c r="I90" s="70"/>
      <c r="J90" s="70"/>
      <c r="K90" s="74"/>
    </row>
    <row r="91" spans="5:11" x14ac:dyDescent="0.3">
      <c r="E91" s="73"/>
      <c r="F91" s="70"/>
      <c r="H91" s="71"/>
      <c r="I91" s="70"/>
      <c r="J91" s="70"/>
      <c r="K91" s="74"/>
    </row>
    <row r="92" spans="5:11" x14ac:dyDescent="0.3">
      <c r="E92" s="73"/>
      <c r="F92" s="70"/>
      <c r="H92" s="71"/>
      <c r="I92" s="70"/>
      <c r="J92" s="70"/>
      <c r="K92" s="74"/>
    </row>
    <row r="93" spans="5:11" x14ac:dyDescent="0.3">
      <c r="E93" s="73"/>
      <c r="F93" s="70"/>
      <c r="H93" s="71"/>
      <c r="I93" s="70"/>
      <c r="J93" s="70"/>
      <c r="K93" s="74"/>
    </row>
    <row r="94" spans="5:11" x14ac:dyDescent="0.3">
      <c r="E94" s="73"/>
      <c r="F94" s="70"/>
      <c r="H94" s="71"/>
      <c r="I94" s="70"/>
      <c r="J94" s="70"/>
      <c r="K94" s="74"/>
    </row>
    <row r="95" spans="5:11" x14ac:dyDescent="0.3">
      <c r="E95" s="73"/>
      <c r="F95" s="70"/>
      <c r="H95" s="71"/>
      <c r="I95" s="70"/>
      <c r="J95" s="70"/>
      <c r="K95" s="74"/>
    </row>
    <row r="96" spans="5:11" x14ac:dyDescent="0.3">
      <c r="E96" s="73"/>
      <c r="F96" s="70"/>
      <c r="H96" s="71"/>
      <c r="I96" s="70"/>
      <c r="J96" s="70"/>
      <c r="K96" s="74"/>
    </row>
    <row r="97" spans="5:11" x14ac:dyDescent="0.3">
      <c r="E97" s="73"/>
      <c r="F97" s="70"/>
      <c r="H97" s="71"/>
      <c r="I97" s="70"/>
      <c r="J97" s="70"/>
      <c r="K97" s="74"/>
    </row>
    <row r="98" spans="5:11" x14ac:dyDescent="0.3">
      <c r="E98" s="73"/>
      <c r="F98" s="70"/>
      <c r="H98" s="71"/>
      <c r="I98" s="70"/>
      <c r="J98" s="70"/>
      <c r="K98" s="74"/>
    </row>
    <row r="99" spans="5:11" x14ac:dyDescent="0.3">
      <c r="E99" s="73"/>
      <c r="F99" s="70"/>
      <c r="H99" s="71"/>
      <c r="I99" s="70"/>
      <c r="J99" s="70"/>
      <c r="K99" s="74"/>
    </row>
    <row r="100" spans="5:11" x14ac:dyDescent="0.3">
      <c r="E100" s="73"/>
      <c r="F100" s="70"/>
      <c r="H100" s="71"/>
      <c r="I100" s="70"/>
      <c r="J100" s="70"/>
      <c r="K100" s="74"/>
    </row>
    <row r="101" spans="5:11" x14ac:dyDescent="0.3">
      <c r="E101" s="73"/>
      <c r="F101" s="70"/>
      <c r="H101" s="71"/>
      <c r="I101" s="70"/>
      <c r="J101" s="70"/>
      <c r="K101" s="74"/>
    </row>
    <row r="102" spans="5:11" x14ac:dyDescent="0.3">
      <c r="E102" s="73"/>
      <c r="F102" s="70"/>
      <c r="H102" s="71"/>
      <c r="I102" s="70"/>
      <c r="J102" s="70"/>
      <c r="K102" s="74"/>
    </row>
    <row r="103" spans="5:11" x14ac:dyDescent="0.3">
      <c r="E103" s="73"/>
      <c r="F103" s="70"/>
      <c r="H103" s="71"/>
      <c r="I103" s="70"/>
      <c r="J103" s="70"/>
      <c r="K103" s="74"/>
    </row>
    <row r="104" spans="5:11" x14ac:dyDescent="0.3">
      <c r="E104" s="73"/>
      <c r="F104" s="70"/>
      <c r="H104" s="71"/>
      <c r="I104" s="70"/>
      <c r="J104" s="70"/>
      <c r="K104" s="74"/>
    </row>
    <row r="105" spans="5:11" x14ac:dyDescent="0.3">
      <c r="E105" s="73"/>
      <c r="F105" s="70"/>
      <c r="H105" s="71"/>
      <c r="I105" s="70"/>
      <c r="J105" s="70"/>
      <c r="K105" s="74"/>
    </row>
    <row r="106" spans="5:11" x14ac:dyDescent="0.3">
      <c r="E106" s="73"/>
      <c r="F106" s="70"/>
      <c r="H106" s="71"/>
      <c r="I106" s="70"/>
      <c r="J106" s="70"/>
      <c r="K106" s="74"/>
    </row>
    <row r="107" spans="5:11" x14ac:dyDescent="0.3">
      <c r="E107" s="73"/>
      <c r="F107" s="70"/>
      <c r="H107" s="71"/>
      <c r="I107" s="70"/>
      <c r="J107" s="70"/>
      <c r="K107" s="74"/>
    </row>
    <row r="108" spans="5:11" x14ac:dyDescent="0.3">
      <c r="E108" s="73"/>
      <c r="F108" s="70"/>
      <c r="H108" s="71"/>
      <c r="I108" s="70"/>
      <c r="J108" s="70"/>
      <c r="K108" s="74"/>
    </row>
    <row r="109" spans="5:11" x14ac:dyDescent="0.3">
      <c r="E109" s="73"/>
      <c r="F109" s="70"/>
      <c r="H109" s="71"/>
      <c r="I109" s="70"/>
      <c r="J109" s="70"/>
      <c r="K109" s="74"/>
    </row>
    <row r="110" spans="5:11" x14ac:dyDescent="0.3">
      <c r="E110" s="73"/>
      <c r="F110" s="70"/>
      <c r="H110" s="71"/>
      <c r="I110" s="70"/>
      <c r="J110" s="70"/>
      <c r="K110" s="74"/>
    </row>
    <row r="111" spans="5:11" x14ac:dyDescent="0.3">
      <c r="E111" s="73"/>
      <c r="F111" s="70"/>
      <c r="H111" s="71"/>
      <c r="I111" s="70"/>
      <c r="J111" s="70"/>
      <c r="K111" s="74"/>
    </row>
    <row r="112" spans="5:11" x14ac:dyDescent="0.3">
      <c r="E112" s="73"/>
      <c r="F112" s="70"/>
      <c r="H112" s="71"/>
      <c r="I112" s="70"/>
      <c r="J112" s="70"/>
      <c r="K112" s="74"/>
    </row>
    <row r="113" spans="5:11" x14ac:dyDescent="0.3">
      <c r="E113" s="73"/>
      <c r="F113" s="70"/>
      <c r="H113" s="71"/>
      <c r="I113" s="70"/>
      <c r="J113" s="70"/>
      <c r="K113" s="74"/>
    </row>
    <row r="114" spans="5:11" x14ac:dyDescent="0.3">
      <c r="E114" s="73"/>
      <c r="F114" s="70"/>
      <c r="H114" s="71"/>
      <c r="I114" s="70"/>
      <c r="J114" s="70"/>
      <c r="K114" s="74"/>
    </row>
    <row r="115" spans="5:11" x14ac:dyDescent="0.3">
      <c r="E115" s="73"/>
      <c r="F115" s="70"/>
      <c r="H115" s="71"/>
      <c r="I115" s="70"/>
      <c r="J115" s="70"/>
      <c r="K115" s="74"/>
    </row>
    <row r="116" spans="5:11" x14ac:dyDescent="0.3">
      <c r="E116" s="73"/>
      <c r="F116" s="70"/>
      <c r="H116" s="71"/>
      <c r="I116" s="70"/>
      <c r="J116" s="70"/>
      <c r="K116" s="74"/>
    </row>
    <row r="117" spans="5:11" x14ac:dyDescent="0.3">
      <c r="E117" s="73"/>
      <c r="F117" s="70"/>
      <c r="H117" s="71"/>
      <c r="I117" s="70"/>
      <c r="J117" s="70"/>
      <c r="K117" s="74"/>
    </row>
    <row r="118" spans="5:11" x14ac:dyDescent="0.3">
      <c r="E118" s="73"/>
      <c r="F118" s="70"/>
      <c r="H118" s="71"/>
      <c r="I118" s="70"/>
      <c r="J118" s="70"/>
      <c r="K118" s="74"/>
    </row>
    <row r="119" spans="5:11" x14ac:dyDescent="0.3">
      <c r="E119" s="73"/>
      <c r="F119" s="70"/>
      <c r="H119" s="71"/>
      <c r="I119" s="70"/>
      <c r="J119" s="70"/>
      <c r="K119" s="74"/>
    </row>
    <row r="120" spans="5:11" x14ac:dyDescent="0.3">
      <c r="E120" s="73"/>
      <c r="F120" s="70"/>
      <c r="H120" s="71"/>
      <c r="I120" s="70"/>
      <c r="J120" s="70"/>
      <c r="K120" s="74"/>
    </row>
    <row r="121" spans="5:11" x14ac:dyDescent="0.3">
      <c r="E121" s="73"/>
      <c r="F121" s="70"/>
      <c r="H121" s="71"/>
      <c r="I121" s="70"/>
      <c r="J121" s="70"/>
      <c r="K121" s="74"/>
    </row>
    <row r="122" spans="5:11" x14ac:dyDescent="0.3">
      <c r="E122" s="73"/>
      <c r="F122" s="70"/>
      <c r="H122" s="71"/>
      <c r="I122" s="70"/>
      <c r="J122" s="70"/>
      <c r="K122" s="74"/>
    </row>
    <row r="123" spans="5:11" x14ac:dyDescent="0.3">
      <c r="E123" s="73"/>
      <c r="F123" s="70"/>
      <c r="H123" s="71"/>
      <c r="I123" s="70"/>
      <c r="J123" s="70"/>
      <c r="K123" s="74"/>
    </row>
    <row r="124" spans="5:11" x14ac:dyDescent="0.3">
      <c r="E124" s="73"/>
      <c r="F124" s="70"/>
      <c r="H124" s="71"/>
      <c r="I124" s="70"/>
      <c r="J124" s="70"/>
      <c r="K124" s="74"/>
    </row>
    <row r="125" spans="5:11" x14ac:dyDescent="0.3">
      <c r="E125" s="73"/>
      <c r="F125" s="70"/>
      <c r="H125" s="71"/>
      <c r="I125" s="70"/>
      <c r="J125" s="70"/>
      <c r="K125" s="74"/>
    </row>
    <row r="126" spans="5:11" x14ac:dyDescent="0.3">
      <c r="E126" s="73"/>
      <c r="F126" s="70"/>
      <c r="H126" s="71"/>
      <c r="I126" s="70"/>
      <c r="J126" s="70"/>
      <c r="K126" s="74"/>
    </row>
    <row r="127" spans="5:11" x14ac:dyDescent="0.3">
      <c r="E127" s="73"/>
      <c r="F127" s="70"/>
      <c r="H127" s="71"/>
      <c r="I127" s="70"/>
      <c r="J127" s="70"/>
      <c r="K127" s="74"/>
    </row>
    <row r="128" spans="5:11" x14ac:dyDescent="0.3">
      <c r="E128" s="73"/>
      <c r="F128" s="70"/>
      <c r="H128" s="71"/>
      <c r="I128" s="70"/>
      <c r="J128" s="70"/>
      <c r="K128" s="74"/>
    </row>
    <row r="129" spans="5:11" x14ac:dyDescent="0.3">
      <c r="E129" s="73"/>
      <c r="F129" s="70"/>
      <c r="H129" s="71"/>
      <c r="I129" s="70"/>
      <c r="J129" s="70"/>
      <c r="K129" s="74"/>
    </row>
    <row r="130" spans="5:11" x14ac:dyDescent="0.3">
      <c r="E130" s="73"/>
      <c r="F130" s="70"/>
      <c r="H130" s="71"/>
      <c r="I130" s="70"/>
      <c r="J130" s="70"/>
      <c r="K130" s="74"/>
    </row>
    <row r="131" spans="5:11" x14ac:dyDescent="0.3">
      <c r="E131" s="73"/>
      <c r="F131" s="70"/>
      <c r="H131" s="71"/>
      <c r="I131" s="70"/>
      <c r="J131" s="70"/>
      <c r="K131" s="74"/>
    </row>
    <row r="132" spans="5:11" x14ac:dyDescent="0.3">
      <c r="E132" s="73"/>
      <c r="F132" s="70"/>
      <c r="H132" s="71"/>
      <c r="I132" s="70"/>
      <c r="J132" s="70"/>
      <c r="K132" s="74"/>
    </row>
    <row r="133" spans="5:11" x14ac:dyDescent="0.3">
      <c r="E133" s="73"/>
      <c r="F133" s="70"/>
      <c r="H133" s="71"/>
      <c r="I133" s="70"/>
      <c r="J133" s="70"/>
      <c r="K133" s="74"/>
    </row>
    <row r="134" spans="5:11" x14ac:dyDescent="0.3">
      <c r="E134" s="73"/>
      <c r="F134" s="70"/>
      <c r="H134" s="71"/>
      <c r="I134" s="70"/>
      <c r="J134" s="70"/>
      <c r="K134" s="74"/>
    </row>
    <row r="135" spans="5:11" x14ac:dyDescent="0.3">
      <c r="E135" s="73"/>
      <c r="F135" s="70"/>
      <c r="H135" s="71"/>
      <c r="I135" s="70"/>
      <c r="J135" s="70"/>
      <c r="K135" s="74"/>
    </row>
    <row r="136" spans="5:11" x14ac:dyDescent="0.3">
      <c r="E136" s="73"/>
      <c r="F136" s="70"/>
      <c r="H136" s="71"/>
      <c r="I136" s="70"/>
      <c r="J136" s="70"/>
      <c r="K136" s="74"/>
    </row>
    <row r="137" spans="5:11" x14ac:dyDescent="0.3">
      <c r="E137" s="73"/>
      <c r="F137" s="70"/>
      <c r="H137" s="71"/>
      <c r="I137" s="70"/>
      <c r="J137" s="70"/>
      <c r="K137" s="74"/>
    </row>
    <row r="138" spans="5:11" x14ac:dyDescent="0.3">
      <c r="E138" s="73"/>
      <c r="F138" s="70"/>
      <c r="H138" s="71"/>
      <c r="I138" s="70"/>
      <c r="J138" s="70"/>
      <c r="K138" s="74"/>
    </row>
    <row r="139" spans="5:11" x14ac:dyDescent="0.3">
      <c r="E139" s="73"/>
      <c r="F139" s="70"/>
      <c r="H139" s="71"/>
      <c r="I139" s="70"/>
      <c r="J139" s="70"/>
      <c r="K139" s="74"/>
    </row>
    <row r="140" spans="5:11" x14ac:dyDescent="0.3">
      <c r="E140" s="73"/>
      <c r="F140" s="70"/>
      <c r="H140" s="71"/>
      <c r="I140" s="70"/>
      <c r="J140" s="70"/>
      <c r="K140" s="74"/>
    </row>
    <row r="141" spans="5:11" x14ac:dyDescent="0.3">
      <c r="E141" s="73"/>
      <c r="F141" s="70"/>
      <c r="H141" s="71"/>
      <c r="I141" s="70"/>
      <c r="J141" s="70"/>
      <c r="K141" s="74"/>
    </row>
    <row r="142" spans="5:11" x14ac:dyDescent="0.3">
      <c r="E142" s="73"/>
      <c r="F142" s="70"/>
      <c r="H142" s="71"/>
      <c r="I142" s="70"/>
      <c r="J142" s="70"/>
      <c r="K142" s="74"/>
    </row>
    <row r="143" spans="5:11" x14ac:dyDescent="0.3">
      <c r="E143" s="73"/>
      <c r="F143" s="70"/>
      <c r="H143" s="71"/>
      <c r="I143" s="70"/>
      <c r="J143" s="70"/>
      <c r="K143" s="74"/>
    </row>
    <row r="144" spans="5:11" x14ac:dyDescent="0.3">
      <c r="E144" s="73"/>
      <c r="F144" s="70"/>
      <c r="H144" s="71"/>
      <c r="I144" s="70"/>
      <c r="J144" s="70"/>
      <c r="K144" s="74"/>
    </row>
    <row r="145" spans="5:11" x14ac:dyDescent="0.3">
      <c r="E145" s="73"/>
      <c r="F145" s="70"/>
      <c r="H145" s="71"/>
      <c r="I145" s="70"/>
      <c r="J145" s="70"/>
      <c r="K145" s="74"/>
    </row>
    <row r="146" spans="5:11" x14ac:dyDescent="0.3">
      <c r="E146" s="73"/>
      <c r="F146" s="70"/>
      <c r="H146" s="71"/>
      <c r="I146" s="70"/>
      <c r="J146" s="70"/>
      <c r="K146" s="74"/>
    </row>
    <row r="147" spans="5:11" x14ac:dyDescent="0.3">
      <c r="E147" s="73"/>
      <c r="F147" s="70"/>
      <c r="H147" s="71"/>
      <c r="I147" s="70"/>
      <c r="J147" s="70"/>
      <c r="K147" s="74"/>
    </row>
    <row r="148" spans="5:11" x14ac:dyDescent="0.3">
      <c r="E148" s="73"/>
      <c r="F148" s="70"/>
      <c r="H148" s="71"/>
      <c r="I148" s="70"/>
      <c r="J148" s="70"/>
      <c r="K148" s="74"/>
    </row>
    <row r="149" spans="5:11" x14ac:dyDescent="0.3">
      <c r="E149" s="73"/>
      <c r="F149" s="70"/>
      <c r="H149" s="71"/>
      <c r="I149" s="70"/>
      <c r="J149" s="70"/>
      <c r="K149" s="74"/>
    </row>
    <row r="150" spans="5:11" x14ac:dyDescent="0.3">
      <c r="E150" s="73"/>
      <c r="F150" s="70"/>
      <c r="H150" s="71"/>
      <c r="I150" s="70"/>
      <c r="J150" s="70"/>
      <c r="K150" s="74"/>
    </row>
    <row r="151" spans="5:11" x14ac:dyDescent="0.3">
      <c r="E151" s="73"/>
      <c r="F151" s="70"/>
      <c r="H151" s="71"/>
      <c r="I151" s="70"/>
      <c r="J151" s="70"/>
      <c r="K151" s="74"/>
    </row>
    <row r="152" spans="5:11" x14ac:dyDescent="0.3">
      <c r="E152" s="73"/>
      <c r="F152" s="70"/>
      <c r="H152" s="71"/>
      <c r="I152" s="70"/>
      <c r="J152" s="70"/>
      <c r="K152" s="74"/>
    </row>
    <row r="153" spans="5:11" x14ac:dyDescent="0.3">
      <c r="E153" s="73"/>
      <c r="F153" s="70"/>
      <c r="H153" s="71"/>
      <c r="I153" s="70"/>
      <c r="J153" s="70"/>
      <c r="K153" s="74"/>
    </row>
    <row r="154" spans="5:11" x14ac:dyDescent="0.3">
      <c r="E154" s="73"/>
      <c r="F154" s="70"/>
      <c r="H154" s="71"/>
      <c r="I154" s="70"/>
      <c r="J154" s="70"/>
      <c r="K154" s="74"/>
    </row>
    <row r="155" spans="5:11" x14ac:dyDescent="0.3">
      <c r="E155" s="73"/>
      <c r="F155" s="70"/>
      <c r="H155" s="71"/>
      <c r="I155" s="70"/>
      <c r="J155" s="70"/>
      <c r="K155" s="74"/>
    </row>
    <row r="156" spans="5:11" x14ac:dyDescent="0.3">
      <c r="E156" s="73"/>
      <c r="F156" s="70"/>
      <c r="H156" s="71"/>
      <c r="I156" s="70"/>
      <c r="J156" s="70"/>
      <c r="K156" s="74"/>
    </row>
    <row r="157" spans="5:11" x14ac:dyDescent="0.3">
      <c r="E157" s="73"/>
      <c r="F157" s="70"/>
      <c r="H157" s="71"/>
      <c r="I157" s="70"/>
      <c r="J157" s="70"/>
      <c r="K157" s="74"/>
    </row>
    <row r="158" spans="5:11" x14ac:dyDescent="0.3">
      <c r="E158" s="73"/>
      <c r="F158" s="70"/>
      <c r="H158" s="71"/>
      <c r="I158" s="70"/>
      <c r="J158" s="70"/>
      <c r="K158" s="74"/>
    </row>
    <row r="159" spans="5:11" x14ac:dyDescent="0.3">
      <c r="E159" s="73"/>
      <c r="F159" s="70"/>
      <c r="H159" s="71"/>
      <c r="I159" s="70"/>
      <c r="J159" s="70"/>
      <c r="K159" s="74"/>
    </row>
    <row r="160" spans="5:11" x14ac:dyDescent="0.3">
      <c r="E160" s="73"/>
      <c r="F160" s="70"/>
      <c r="H160" s="71"/>
      <c r="I160" s="70"/>
      <c r="J160" s="70"/>
      <c r="K160" s="74"/>
    </row>
    <row r="161" spans="5:11" x14ac:dyDescent="0.3">
      <c r="E161" s="73"/>
      <c r="F161" s="70"/>
      <c r="H161" s="71"/>
      <c r="I161" s="70"/>
      <c r="J161" s="70"/>
      <c r="K161" s="74"/>
    </row>
    <row r="162" spans="5:11" x14ac:dyDescent="0.3">
      <c r="E162" s="73"/>
      <c r="F162" s="70"/>
      <c r="H162" s="71"/>
      <c r="I162" s="70"/>
      <c r="J162" s="70"/>
      <c r="K162" s="74"/>
    </row>
    <row r="163" spans="5:11" x14ac:dyDescent="0.3">
      <c r="E163" s="73"/>
      <c r="F163" s="70"/>
      <c r="H163" s="71"/>
      <c r="I163" s="70"/>
      <c r="J163" s="70"/>
      <c r="K163" s="74"/>
    </row>
    <row r="164" spans="5:11" x14ac:dyDescent="0.3">
      <c r="E164" s="73"/>
      <c r="F164" s="70"/>
      <c r="H164" s="71"/>
      <c r="I164" s="70"/>
      <c r="J164" s="70"/>
      <c r="K164" s="74"/>
    </row>
    <row r="165" spans="5:11" x14ac:dyDescent="0.3">
      <c r="E165" s="73"/>
      <c r="F165" s="70"/>
      <c r="H165" s="71"/>
      <c r="I165" s="70"/>
      <c r="J165" s="70"/>
      <c r="K165" s="74"/>
    </row>
    <row r="166" spans="5:11" x14ac:dyDescent="0.3">
      <c r="E166" s="73"/>
      <c r="F166" s="70"/>
      <c r="H166" s="71"/>
      <c r="I166" s="70"/>
      <c r="J166" s="70"/>
      <c r="K166" s="74"/>
    </row>
    <row r="167" spans="5:11" x14ac:dyDescent="0.3">
      <c r="E167" s="73"/>
      <c r="F167" s="70"/>
      <c r="H167" s="71"/>
      <c r="I167" s="70"/>
      <c r="J167" s="70"/>
      <c r="K167" s="74"/>
    </row>
    <row r="168" spans="5:11" x14ac:dyDescent="0.3">
      <c r="E168" s="73"/>
      <c r="F168" s="70"/>
      <c r="H168" s="71"/>
      <c r="I168" s="70"/>
      <c r="J168" s="70"/>
      <c r="K168" s="74"/>
    </row>
    <row r="169" spans="5:11" x14ac:dyDescent="0.3">
      <c r="E169" s="73"/>
      <c r="F169" s="70"/>
      <c r="H169" s="71"/>
      <c r="I169" s="70"/>
      <c r="J169" s="70"/>
      <c r="K169" s="74"/>
    </row>
    <row r="170" spans="5:11" x14ac:dyDescent="0.3">
      <c r="E170" s="73"/>
      <c r="F170" s="70"/>
      <c r="H170" s="71"/>
      <c r="I170" s="70"/>
      <c r="J170" s="70"/>
      <c r="K170" s="74"/>
    </row>
    <row r="171" spans="5:11" x14ac:dyDescent="0.3">
      <c r="E171" s="73"/>
      <c r="F171" s="70"/>
      <c r="H171" s="71"/>
      <c r="I171" s="70"/>
      <c r="J171" s="70"/>
      <c r="K171" s="74"/>
    </row>
    <row r="172" spans="5:11" x14ac:dyDescent="0.3">
      <c r="E172" s="73"/>
      <c r="F172" s="70"/>
      <c r="H172" s="71"/>
      <c r="I172" s="70"/>
      <c r="J172" s="70"/>
      <c r="K172" s="74"/>
    </row>
    <row r="173" spans="5:11" x14ac:dyDescent="0.3">
      <c r="E173" s="73"/>
      <c r="F173" s="70"/>
      <c r="H173" s="71"/>
      <c r="I173" s="70"/>
      <c r="J173" s="70"/>
      <c r="K173" s="74"/>
    </row>
    <row r="174" spans="5:11" x14ac:dyDescent="0.3">
      <c r="E174" s="73"/>
      <c r="F174" s="70"/>
      <c r="H174" s="71"/>
      <c r="I174" s="70"/>
      <c r="J174" s="70"/>
      <c r="K174" s="74"/>
    </row>
    <row r="175" spans="5:11" x14ac:dyDescent="0.3">
      <c r="E175" s="73"/>
      <c r="F175" s="70"/>
      <c r="H175" s="71"/>
      <c r="I175" s="70"/>
      <c r="J175" s="70"/>
      <c r="K175" s="74"/>
    </row>
    <row r="176" spans="5:11" x14ac:dyDescent="0.3">
      <c r="E176" s="73"/>
      <c r="F176" s="70"/>
      <c r="H176" s="71"/>
      <c r="I176" s="70"/>
      <c r="J176" s="70"/>
      <c r="K176" s="74"/>
    </row>
    <row r="177" spans="5:11" x14ac:dyDescent="0.3">
      <c r="E177" s="73"/>
      <c r="F177" s="70"/>
      <c r="H177" s="71"/>
      <c r="I177" s="70"/>
      <c r="J177" s="70"/>
      <c r="K177" s="74"/>
    </row>
    <row r="178" spans="5:11" x14ac:dyDescent="0.3">
      <c r="E178" s="73"/>
      <c r="F178" s="70"/>
      <c r="H178" s="71"/>
      <c r="I178" s="70"/>
      <c r="J178" s="70"/>
      <c r="K178" s="74"/>
    </row>
    <row r="179" spans="5:11" x14ac:dyDescent="0.3">
      <c r="E179" s="73"/>
      <c r="F179" s="70"/>
      <c r="H179" s="71"/>
      <c r="I179" s="70"/>
      <c r="J179" s="70"/>
      <c r="K179" s="74"/>
    </row>
    <row r="180" spans="5:11" x14ac:dyDescent="0.3">
      <c r="E180" s="73"/>
      <c r="F180" s="70"/>
      <c r="H180" s="71"/>
      <c r="I180" s="70"/>
      <c r="J180" s="70"/>
      <c r="K180" s="74"/>
    </row>
    <row r="181" spans="5:11" x14ac:dyDescent="0.3">
      <c r="E181" s="73"/>
      <c r="F181" s="70"/>
      <c r="H181" s="71"/>
      <c r="I181" s="70"/>
      <c r="J181" s="70"/>
      <c r="K181" s="74"/>
    </row>
    <row r="182" spans="5:11" x14ac:dyDescent="0.3">
      <c r="E182" s="73"/>
      <c r="F182" s="70"/>
      <c r="H182" s="71"/>
      <c r="I182" s="70"/>
      <c r="J182" s="70"/>
      <c r="K182" s="74"/>
    </row>
    <row r="183" spans="5:11" x14ac:dyDescent="0.3">
      <c r="E183" s="73"/>
      <c r="F183" s="70"/>
      <c r="H183" s="71"/>
      <c r="I183" s="70"/>
      <c r="J183" s="70"/>
      <c r="K183" s="74"/>
    </row>
    <row r="184" spans="5:11" x14ac:dyDescent="0.3">
      <c r="E184" s="73"/>
      <c r="F184" s="70"/>
      <c r="H184" s="71"/>
      <c r="I184" s="70"/>
      <c r="J184" s="70"/>
      <c r="K184" s="74"/>
    </row>
    <row r="185" spans="5:11" x14ac:dyDescent="0.3">
      <c r="E185" s="73"/>
      <c r="F185" s="70"/>
      <c r="H185" s="71"/>
      <c r="I185" s="70"/>
      <c r="J185" s="70"/>
      <c r="K185" s="74"/>
    </row>
    <row r="186" spans="5:11" x14ac:dyDescent="0.3">
      <c r="E186" s="73"/>
      <c r="F186" s="70"/>
      <c r="H186" s="71"/>
      <c r="I186" s="70"/>
      <c r="J186" s="70"/>
      <c r="K186" s="74"/>
    </row>
    <row r="187" spans="5:11" x14ac:dyDescent="0.3">
      <c r="E187" s="73"/>
      <c r="F187" s="70"/>
      <c r="H187" s="71"/>
      <c r="I187" s="70"/>
      <c r="J187" s="70"/>
      <c r="K187" s="74"/>
    </row>
    <row r="188" spans="5:11" x14ac:dyDescent="0.3">
      <c r="E188" s="73"/>
      <c r="F188" s="70"/>
      <c r="H188" s="71"/>
      <c r="I188" s="70"/>
      <c r="J188" s="70"/>
      <c r="K188" s="74"/>
    </row>
    <row r="189" spans="5:11" x14ac:dyDescent="0.3">
      <c r="E189" s="73"/>
      <c r="F189" s="70"/>
      <c r="H189" s="71"/>
      <c r="I189" s="70"/>
      <c r="J189" s="70"/>
      <c r="K189" s="74"/>
    </row>
    <row r="190" spans="5:11" x14ac:dyDescent="0.3">
      <c r="E190" s="73"/>
      <c r="F190" s="70"/>
      <c r="H190" s="71"/>
      <c r="I190" s="70"/>
      <c r="J190" s="70"/>
      <c r="K190" s="74"/>
    </row>
    <row r="191" spans="5:11" x14ac:dyDescent="0.3">
      <c r="E191" s="73"/>
      <c r="F191" s="70"/>
      <c r="H191" s="71"/>
      <c r="I191" s="70"/>
      <c r="J191" s="70"/>
      <c r="K191" s="74"/>
    </row>
    <row r="192" spans="5:11" x14ac:dyDescent="0.3">
      <c r="E192" s="73"/>
      <c r="F192" s="70"/>
      <c r="H192" s="71"/>
      <c r="I192" s="70"/>
      <c r="J192" s="70"/>
      <c r="K192" s="74"/>
    </row>
    <row r="193" spans="5:11" x14ac:dyDescent="0.3">
      <c r="E193" s="73"/>
      <c r="F193" s="70"/>
      <c r="H193" s="71"/>
      <c r="I193" s="70"/>
      <c r="J193" s="70"/>
      <c r="K193" s="74"/>
    </row>
    <row r="194" spans="5:11" x14ac:dyDescent="0.3">
      <c r="E194" s="73"/>
      <c r="F194" s="70"/>
      <c r="H194" s="71"/>
      <c r="I194" s="70"/>
      <c r="J194" s="70"/>
      <c r="K194" s="74"/>
    </row>
    <row r="195" spans="5:11" x14ac:dyDescent="0.3">
      <c r="E195" s="73"/>
      <c r="F195" s="70"/>
      <c r="H195" s="71"/>
      <c r="I195" s="70"/>
      <c r="J195" s="70"/>
      <c r="K195" s="74"/>
    </row>
    <row r="196" spans="5:11" x14ac:dyDescent="0.3">
      <c r="E196" s="73"/>
      <c r="F196" s="70"/>
      <c r="H196" s="71"/>
      <c r="I196" s="70"/>
      <c r="J196" s="70"/>
      <c r="K196" s="74"/>
    </row>
    <row r="197" spans="5:11" x14ac:dyDescent="0.3">
      <c r="E197" s="73"/>
      <c r="F197" s="70"/>
      <c r="H197" s="71"/>
      <c r="I197" s="70"/>
      <c r="J197" s="70"/>
      <c r="K197" s="74"/>
    </row>
    <row r="198" spans="5:11" x14ac:dyDescent="0.3">
      <c r="E198" s="73"/>
      <c r="F198" s="70"/>
      <c r="H198" s="71"/>
      <c r="I198" s="70"/>
      <c r="J198" s="70"/>
      <c r="K198" s="74"/>
    </row>
    <row r="199" spans="5:11" x14ac:dyDescent="0.3">
      <c r="E199" s="73"/>
      <c r="F199" s="70"/>
      <c r="H199" s="71"/>
      <c r="I199" s="70"/>
      <c r="J199" s="70"/>
      <c r="K199" s="74"/>
    </row>
    <row r="200" spans="5:11" x14ac:dyDescent="0.3">
      <c r="E200" s="73"/>
      <c r="F200" s="70"/>
      <c r="H200" s="71"/>
      <c r="I200" s="70"/>
      <c r="J200" s="70"/>
      <c r="K200" s="74"/>
    </row>
    <row r="201" spans="5:11" x14ac:dyDescent="0.3">
      <c r="E201" s="73"/>
      <c r="F201" s="70"/>
      <c r="H201" s="71"/>
      <c r="I201" s="70"/>
      <c r="J201" s="70"/>
      <c r="K201" s="74"/>
    </row>
    <row r="202" spans="5:11" x14ac:dyDescent="0.3">
      <c r="E202" s="73"/>
      <c r="F202" s="70"/>
      <c r="H202" s="71"/>
      <c r="I202" s="70"/>
      <c r="J202" s="70"/>
      <c r="K202" s="74"/>
    </row>
    <row r="203" spans="5:11" x14ac:dyDescent="0.3">
      <c r="E203" s="73"/>
      <c r="F203" s="70"/>
      <c r="H203" s="71"/>
      <c r="I203" s="70"/>
      <c r="J203" s="70"/>
      <c r="K203" s="74"/>
    </row>
    <row r="204" spans="5:11" x14ac:dyDescent="0.3">
      <c r="E204" s="73"/>
      <c r="F204" s="70"/>
      <c r="H204" s="71"/>
      <c r="I204" s="70"/>
      <c r="J204" s="70"/>
      <c r="K204" s="74"/>
    </row>
    <row r="205" spans="5:11" x14ac:dyDescent="0.3">
      <c r="E205" s="73"/>
      <c r="F205" s="70"/>
      <c r="H205" s="71"/>
      <c r="I205" s="70"/>
      <c r="J205" s="70"/>
      <c r="K205" s="74"/>
    </row>
    <row r="206" spans="5:11" x14ac:dyDescent="0.3">
      <c r="E206" s="73"/>
      <c r="F206" s="70"/>
      <c r="H206" s="71"/>
      <c r="I206" s="70"/>
      <c r="J206" s="70"/>
      <c r="K206" s="74"/>
    </row>
    <row r="207" spans="5:11" x14ac:dyDescent="0.3">
      <c r="E207" s="73"/>
      <c r="F207" s="70"/>
      <c r="H207" s="71"/>
      <c r="I207" s="70"/>
      <c r="J207" s="70"/>
      <c r="K207" s="74"/>
    </row>
    <row r="208" spans="5:11" x14ac:dyDescent="0.3">
      <c r="E208" s="73"/>
      <c r="F208" s="70"/>
      <c r="H208" s="71"/>
      <c r="I208" s="70"/>
      <c r="J208" s="70"/>
      <c r="K208" s="74"/>
    </row>
    <row r="209" spans="5:11" x14ac:dyDescent="0.3">
      <c r="E209" s="73"/>
      <c r="F209" s="70"/>
      <c r="H209" s="71"/>
      <c r="I209" s="70"/>
      <c r="J209" s="70"/>
      <c r="K209" s="74"/>
    </row>
    <row r="210" spans="5:11" x14ac:dyDescent="0.3">
      <c r="E210" s="73"/>
      <c r="F210" s="70"/>
      <c r="H210" s="71"/>
      <c r="I210" s="70"/>
      <c r="J210" s="70"/>
      <c r="K210" s="74"/>
    </row>
    <row r="211" spans="5:11" x14ac:dyDescent="0.3">
      <c r="E211" s="73"/>
      <c r="F211" s="70"/>
      <c r="H211" s="71"/>
      <c r="I211" s="70"/>
      <c r="J211" s="70"/>
      <c r="K211" s="74"/>
    </row>
    <row r="212" spans="5:11" x14ac:dyDescent="0.3">
      <c r="E212" s="73"/>
      <c r="F212" s="70"/>
      <c r="H212" s="71"/>
      <c r="I212" s="70"/>
      <c r="J212" s="70"/>
      <c r="K212" s="74"/>
    </row>
    <row r="213" spans="5:11" x14ac:dyDescent="0.3">
      <c r="E213" s="73"/>
      <c r="F213" s="70"/>
      <c r="H213" s="71"/>
      <c r="I213" s="70"/>
      <c r="J213" s="70"/>
      <c r="K213" s="74"/>
    </row>
    <row r="214" spans="5:11" x14ac:dyDescent="0.3">
      <c r="E214" s="73"/>
      <c r="F214" s="70"/>
      <c r="H214" s="71"/>
      <c r="I214" s="70"/>
      <c r="J214" s="70"/>
      <c r="K214" s="74"/>
    </row>
    <row r="215" spans="5:11" x14ac:dyDescent="0.3">
      <c r="E215" s="73"/>
      <c r="F215" s="70"/>
      <c r="H215" s="71"/>
      <c r="I215" s="70"/>
      <c r="J215" s="70"/>
      <c r="K215" s="74"/>
    </row>
    <row r="216" spans="5:11" x14ac:dyDescent="0.3">
      <c r="E216" s="73"/>
      <c r="F216" s="70"/>
      <c r="H216" s="71"/>
      <c r="I216" s="70"/>
      <c r="J216" s="70"/>
      <c r="K216" s="74"/>
    </row>
    <row r="217" spans="5:11" x14ac:dyDescent="0.3">
      <c r="E217" s="73"/>
      <c r="F217" s="70"/>
      <c r="H217" s="71"/>
      <c r="I217" s="70"/>
      <c r="J217" s="70"/>
      <c r="K217" s="74"/>
    </row>
    <row r="218" spans="5:11" x14ac:dyDescent="0.3">
      <c r="E218" s="73"/>
      <c r="F218" s="70"/>
      <c r="H218" s="71"/>
      <c r="I218" s="70"/>
      <c r="J218" s="70"/>
      <c r="K218" s="74"/>
    </row>
    <row r="219" spans="5:11" x14ac:dyDescent="0.3">
      <c r="E219" s="73"/>
      <c r="F219" s="70"/>
      <c r="H219" s="71"/>
      <c r="I219" s="70"/>
      <c r="J219" s="70"/>
      <c r="K219" s="74"/>
    </row>
    <row r="220" spans="5:11" x14ac:dyDescent="0.3">
      <c r="E220" s="73"/>
      <c r="F220" s="70"/>
      <c r="H220" s="71"/>
      <c r="I220" s="70"/>
      <c r="J220" s="70"/>
      <c r="K220" s="74"/>
    </row>
    <row r="221" spans="5:11" x14ac:dyDescent="0.3">
      <c r="E221" s="73"/>
      <c r="F221" s="70"/>
      <c r="H221" s="71"/>
      <c r="I221" s="70"/>
      <c r="J221" s="70"/>
      <c r="K221" s="74"/>
    </row>
    <row r="222" spans="5:11" x14ac:dyDescent="0.3">
      <c r="E222" s="73"/>
      <c r="F222" s="70"/>
      <c r="H222" s="71"/>
      <c r="I222" s="70"/>
      <c r="J222" s="70"/>
      <c r="K222" s="74"/>
    </row>
    <row r="223" spans="5:11" x14ac:dyDescent="0.3">
      <c r="E223" s="73"/>
      <c r="F223" s="70"/>
      <c r="H223" s="71"/>
      <c r="I223" s="70"/>
      <c r="J223" s="70"/>
      <c r="K223" s="74"/>
    </row>
    <row r="224" spans="5:11" x14ac:dyDescent="0.3">
      <c r="E224" s="73"/>
      <c r="F224" s="70"/>
      <c r="H224" s="71"/>
      <c r="I224" s="70"/>
      <c r="J224" s="70"/>
      <c r="K224" s="74"/>
    </row>
    <row r="225" spans="5:11" x14ac:dyDescent="0.3">
      <c r="E225" s="73"/>
      <c r="F225" s="70"/>
      <c r="H225" s="71"/>
      <c r="I225" s="70"/>
      <c r="J225" s="70"/>
      <c r="K225" s="74"/>
    </row>
    <row r="226" spans="5:11" x14ac:dyDescent="0.3">
      <c r="E226" s="73"/>
      <c r="F226" s="70"/>
      <c r="H226" s="71"/>
      <c r="I226" s="70"/>
      <c r="J226" s="70"/>
      <c r="K226" s="74"/>
    </row>
    <row r="227" spans="5:11" x14ac:dyDescent="0.3">
      <c r="E227" s="73"/>
      <c r="F227" s="70"/>
      <c r="H227" s="71"/>
      <c r="I227" s="70"/>
      <c r="J227" s="70"/>
      <c r="K227" s="74"/>
    </row>
    <row r="228" spans="5:11" x14ac:dyDescent="0.3">
      <c r="E228" s="73"/>
      <c r="F228" s="70"/>
      <c r="H228" s="71"/>
      <c r="I228" s="70"/>
      <c r="J228" s="70"/>
      <c r="K228" s="74"/>
    </row>
    <row r="229" spans="5:11" x14ac:dyDescent="0.3">
      <c r="E229" s="73"/>
      <c r="F229" s="70"/>
      <c r="H229" s="71"/>
      <c r="I229" s="70"/>
      <c r="J229" s="70"/>
      <c r="K229" s="74"/>
    </row>
    <row r="230" spans="5:11" x14ac:dyDescent="0.3">
      <c r="E230" s="73"/>
      <c r="F230" s="70"/>
      <c r="H230" s="71"/>
      <c r="I230" s="70"/>
      <c r="J230" s="70"/>
      <c r="K230" s="74"/>
    </row>
    <row r="231" spans="5:11" x14ac:dyDescent="0.3">
      <c r="E231" s="73"/>
      <c r="F231" s="70"/>
      <c r="H231" s="71"/>
      <c r="I231" s="70"/>
      <c r="J231" s="70"/>
      <c r="K231" s="74"/>
    </row>
    <row r="232" spans="5:11" x14ac:dyDescent="0.3">
      <c r="E232" s="73"/>
      <c r="F232" s="70"/>
      <c r="H232" s="71"/>
      <c r="I232" s="70"/>
      <c r="J232" s="70"/>
      <c r="K232" s="74"/>
    </row>
    <row r="233" spans="5:11" x14ac:dyDescent="0.3">
      <c r="E233" s="73"/>
      <c r="F233" s="70"/>
      <c r="H233" s="71"/>
      <c r="I233" s="70"/>
      <c r="J233" s="70"/>
      <c r="K233" s="74"/>
    </row>
    <row r="234" spans="5:11" x14ac:dyDescent="0.3">
      <c r="E234" s="73"/>
      <c r="F234" s="70"/>
      <c r="H234" s="71"/>
      <c r="I234" s="70"/>
      <c r="J234" s="70"/>
      <c r="K234" s="74"/>
    </row>
    <row r="235" spans="5:11" x14ac:dyDescent="0.3">
      <c r="E235" s="73"/>
      <c r="F235" s="70"/>
      <c r="H235" s="71"/>
      <c r="I235" s="70"/>
      <c r="J235" s="70"/>
      <c r="K235" s="74"/>
    </row>
    <row r="236" spans="5:11" x14ac:dyDescent="0.3">
      <c r="E236" s="73"/>
      <c r="F236" s="70"/>
      <c r="H236" s="71"/>
      <c r="I236" s="70"/>
      <c r="J236" s="70"/>
      <c r="K236" s="74"/>
    </row>
    <row r="237" spans="5:11" x14ac:dyDescent="0.3">
      <c r="E237" s="73"/>
      <c r="F237" s="70"/>
      <c r="H237" s="71"/>
      <c r="I237" s="70"/>
      <c r="J237" s="70"/>
      <c r="K237" s="74"/>
    </row>
    <row r="238" spans="5:11" x14ac:dyDescent="0.3">
      <c r="E238" s="73"/>
      <c r="F238" s="70"/>
      <c r="H238" s="71"/>
      <c r="I238" s="70"/>
      <c r="J238" s="70"/>
      <c r="K238" s="74"/>
    </row>
    <row r="239" spans="5:11" x14ac:dyDescent="0.3">
      <c r="E239" s="73"/>
      <c r="F239" s="70"/>
      <c r="H239" s="71"/>
      <c r="I239" s="70"/>
      <c r="J239" s="70"/>
      <c r="K239" s="74"/>
    </row>
    <row r="240" spans="5:11" x14ac:dyDescent="0.3">
      <c r="E240" s="73"/>
      <c r="F240" s="70"/>
      <c r="H240" s="71"/>
      <c r="I240" s="70"/>
      <c r="J240" s="70"/>
      <c r="K240" s="74"/>
    </row>
    <row r="241" spans="5:11" x14ac:dyDescent="0.3">
      <c r="E241" s="73"/>
      <c r="F241" s="70"/>
      <c r="H241" s="71"/>
      <c r="I241" s="70"/>
      <c r="J241" s="70"/>
      <c r="K241" s="74"/>
    </row>
    <row r="242" spans="5:11" x14ac:dyDescent="0.3">
      <c r="E242" s="73"/>
      <c r="F242" s="70"/>
      <c r="H242" s="71"/>
      <c r="I242" s="70"/>
      <c r="J242" s="70"/>
      <c r="K242" s="74"/>
    </row>
    <row r="243" spans="5:11" x14ac:dyDescent="0.3">
      <c r="E243" s="73"/>
      <c r="F243" s="70"/>
      <c r="H243" s="71"/>
      <c r="I243" s="70"/>
      <c r="J243" s="70"/>
      <c r="K243" s="74"/>
    </row>
    <row r="244" spans="5:11" x14ac:dyDescent="0.3">
      <c r="E244" s="73"/>
      <c r="F244" s="70"/>
      <c r="H244" s="71"/>
      <c r="I244" s="70"/>
      <c r="J244" s="70"/>
      <c r="K244" s="74"/>
    </row>
    <row r="245" spans="5:11" x14ac:dyDescent="0.3">
      <c r="E245" s="73"/>
      <c r="F245" s="70"/>
      <c r="H245" s="71"/>
      <c r="I245" s="70"/>
      <c r="J245" s="70"/>
      <c r="K245" s="74"/>
    </row>
    <row r="246" spans="5:11" x14ac:dyDescent="0.3">
      <c r="E246" s="73"/>
      <c r="F246" s="70"/>
      <c r="H246" s="71"/>
      <c r="I246" s="70"/>
      <c r="J246" s="70"/>
      <c r="K246" s="74"/>
    </row>
    <row r="247" spans="5:11" x14ac:dyDescent="0.3">
      <c r="E247" s="73"/>
      <c r="F247" s="70"/>
      <c r="H247" s="71"/>
      <c r="I247" s="70"/>
      <c r="J247" s="70"/>
      <c r="K247" s="74"/>
    </row>
    <row r="248" spans="5:11" x14ac:dyDescent="0.3">
      <c r="E248" s="73"/>
      <c r="F248" s="70"/>
      <c r="H248" s="71"/>
      <c r="I248" s="70"/>
      <c r="J248" s="70"/>
      <c r="K248" s="74"/>
    </row>
    <row r="249" spans="5:11" x14ac:dyDescent="0.3">
      <c r="E249" s="73"/>
      <c r="F249" s="70"/>
      <c r="H249" s="71"/>
      <c r="I249" s="70"/>
      <c r="J249" s="70"/>
      <c r="K249" s="74"/>
    </row>
    <row r="250" spans="5:11" x14ac:dyDescent="0.3">
      <c r="E250" s="73"/>
      <c r="F250" s="70"/>
      <c r="H250" s="71"/>
      <c r="I250" s="70"/>
      <c r="J250" s="70"/>
      <c r="K250" s="74"/>
    </row>
    <row r="251" spans="5:11" x14ac:dyDescent="0.3">
      <c r="E251" s="73"/>
      <c r="F251" s="70"/>
      <c r="H251" s="71"/>
      <c r="I251" s="70"/>
      <c r="J251" s="70"/>
      <c r="K251" s="74"/>
    </row>
    <row r="252" spans="5:11" x14ac:dyDescent="0.3">
      <c r="E252" s="73"/>
      <c r="F252" s="70"/>
      <c r="H252" s="71"/>
      <c r="I252" s="70"/>
      <c r="J252" s="70"/>
      <c r="K252" s="74"/>
    </row>
    <row r="253" spans="5:11" x14ac:dyDescent="0.3">
      <c r="E253" s="73"/>
      <c r="F253" s="70"/>
      <c r="H253" s="71"/>
      <c r="I253" s="70"/>
      <c r="J253" s="70"/>
      <c r="K253" s="74"/>
    </row>
    <row r="254" spans="5:11" x14ac:dyDescent="0.3">
      <c r="E254" s="73"/>
      <c r="F254" s="70"/>
      <c r="H254" s="71"/>
      <c r="I254" s="70"/>
      <c r="J254" s="70"/>
      <c r="K254" s="74"/>
    </row>
    <row r="255" spans="5:11" x14ac:dyDescent="0.3">
      <c r="E255" s="73"/>
      <c r="F255" s="70"/>
      <c r="H255" s="71"/>
      <c r="I255" s="70"/>
      <c r="J255" s="70"/>
      <c r="K255" s="74"/>
    </row>
    <row r="256" spans="5:11" x14ac:dyDescent="0.3">
      <c r="E256" s="73"/>
      <c r="F256" s="70"/>
      <c r="H256" s="71"/>
      <c r="I256" s="70"/>
      <c r="J256" s="70"/>
      <c r="K256" s="74"/>
    </row>
    <row r="257" spans="5:11" x14ac:dyDescent="0.3">
      <c r="E257" s="73"/>
      <c r="F257" s="70"/>
      <c r="H257" s="71"/>
      <c r="I257" s="70"/>
      <c r="J257" s="70"/>
      <c r="K257" s="74"/>
    </row>
    <row r="258" spans="5:11" x14ac:dyDescent="0.3">
      <c r="E258" s="73"/>
      <c r="F258" s="70"/>
      <c r="H258" s="71"/>
      <c r="I258" s="70"/>
      <c r="J258" s="70"/>
      <c r="K258" s="74"/>
    </row>
    <row r="259" spans="5:11" x14ac:dyDescent="0.3">
      <c r="E259" s="73"/>
      <c r="F259" s="70"/>
      <c r="H259" s="71"/>
      <c r="I259" s="70"/>
      <c r="J259" s="70"/>
      <c r="K259" s="74"/>
    </row>
    <row r="260" spans="5:11" x14ac:dyDescent="0.3">
      <c r="E260" s="73"/>
      <c r="F260" s="70"/>
      <c r="H260" s="71"/>
      <c r="I260" s="70"/>
      <c r="J260" s="70"/>
      <c r="K260" s="74"/>
    </row>
    <row r="261" spans="5:11" x14ac:dyDescent="0.3">
      <c r="E261" s="73"/>
      <c r="F261" s="70"/>
      <c r="H261" s="71"/>
      <c r="I261" s="70"/>
      <c r="J261" s="70"/>
      <c r="K261" s="74"/>
    </row>
    <row r="262" spans="5:11" x14ac:dyDescent="0.3">
      <c r="E262" s="73"/>
      <c r="F262" s="70"/>
      <c r="H262" s="71"/>
      <c r="I262" s="70"/>
      <c r="J262" s="70"/>
      <c r="K262" s="74"/>
    </row>
    <row r="263" spans="5:11" x14ac:dyDescent="0.3">
      <c r="E263" s="73"/>
      <c r="F263" s="70"/>
      <c r="H263" s="71"/>
      <c r="I263" s="70"/>
      <c r="J263" s="70"/>
      <c r="K263" s="74"/>
    </row>
    <row r="264" spans="5:11" x14ac:dyDescent="0.3">
      <c r="E264" s="73"/>
      <c r="F264" s="70"/>
      <c r="H264" s="71"/>
      <c r="I264" s="70"/>
      <c r="J264" s="70"/>
      <c r="K264" s="74"/>
    </row>
    <row r="265" spans="5:11" x14ac:dyDescent="0.3">
      <c r="E265" s="73"/>
      <c r="F265" s="70"/>
      <c r="H265" s="71"/>
      <c r="I265" s="70"/>
      <c r="J265" s="70"/>
      <c r="K265" s="74"/>
    </row>
    <row r="266" spans="5:11" x14ac:dyDescent="0.3">
      <c r="E266" s="73"/>
      <c r="F266" s="70"/>
      <c r="H266" s="71"/>
      <c r="I266" s="70"/>
      <c r="J266" s="70"/>
      <c r="K266" s="74"/>
    </row>
    <row r="267" spans="5:11" x14ac:dyDescent="0.3">
      <c r="E267" s="73"/>
      <c r="F267" s="70"/>
      <c r="H267" s="71"/>
      <c r="I267" s="70"/>
      <c r="J267" s="70"/>
      <c r="K267" s="74"/>
    </row>
    <row r="268" spans="5:11" x14ac:dyDescent="0.3">
      <c r="E268" s="73"/>
      <c r="F268" s="70"/>
      <c r="H268" s="71"/>
      <c r="I268" s="70"/>
      <c r="J268" s="70"/>
      <c r="K268" s="74"/>
    </row>
    <row r="269" spans="5:11" x14ac:dyDescent="0.3">
      <c r="E269" s="73"/>
      <c r="F269" s="70"/>
      <c r="H269" s="71"/>
      <c r="I269" s="70"/>
      <c r="J269" s="70"/>
      <c r="K269" s="74"/>
    </row>
    <row r="270" spans="5:11" x14ac:dyDescent="0.3">
      <c r="E270" s="73"/>
      <c r="F270" s="70"/>
      <c r="H270" s="71"/>
      <c r="I270" s="70"/>
      <c r="J270" s="70"/>
      <c r="K270" s="74"/>
    </row>
    <row r="271" spans="5:11" x14ac:dyDescent="0.3">
      <c r="E271" s="73"/>
      <c r="F271" s="70"/>
      <c r="H271" s="71"/>
      <c r="I271" s="70"/>
      <c r="J271" s="70"/>
      <c r="K271" s="74"/>
    </row>
    <row r="272" spans="5:11" x14ac:dyDescent="0.3">
      <c r="E272" s="73"/>
      <c r="F272" s="70"/>
      <c r="H272" s="71"/>
      <c r="I272" s="70"/>
      <c r="J272" s="70"/>
      <c r="K272" s="74"/>
    </row>
    <row r="273" spans="5:11" x14ac:dyDescent="0.3">
      <c r="E273" s="73"/>
      <c r="F273" s="70"/>
      <c r="H273" s="71"/>
      <c r="I273" s="70"/>
      <c r="J273" s="70"/>
      <c r="K273" s="74"/>
    </row>
    <row r="274" spans="5:11" x14ac:dyDescent="0.3">
      <c r="E274" s="73"/>
      <c r="F274" s="70"/>
      <c r="H274" s="71"/>
      <c r="I274" s="70"/>
      <c r="J274" s="70"/>
      <c r="K274" s="74"/>
    </row>
    <row r="275" spans="5:11" x14ac:dyDescent="0.3">
      <c r="E275" s="73"/>
      <c r="F275" s="70"/>
      <c r="H275" s="71"/>
      <c r="I275" s="70"/>
      <c r="J275" s="70"/>
      <c r="K275" s="74"/>
    </row>
    <row r="276" spans="5:11" x14ac:dyDescent="0.3">
      <c r="E276" s="73"/>
      <c r="F276" s="70"/>
      <c r="H276" s="71"/>
      <c r="I276" s="70"/>
      <c r="J276" s="70"/>
      <c r="K276" s="74"/>
    </row>
    <row r="277" spans="5:11" x14ac:dyDescent="0.3">
      <c r="E277" s="73"/>
      <c r="F277" s="70"/>
      <c r="H277" s="71"/>
      <c r="I277" s="70"/>
      <c r="J277" s="70"/>
      <c r="K277" s="74"/>
    </row>
    <row r="278" spans="5:11" x14ac:dyDescent="0.3">
      <c r="E278" s="73"/>
      <c r="F278" s="70"/>
      <c r="H278" s="71"/>
      <c r="I278" s="70"/>
      <c r="J278" s="70"/>
      <c r="K278" s="74"/>
    </row>
    <row r="279" spans="5:11" x14ac:dyDescent="0.3">
      <c r="E279" s="73"/>
      <c r="F279" s="70"/>
      <c r="H279" s="71"/>
      <c r="I279" s="70"/>
      <c r="J279" s="70"/>
      <c r="K279" s="74"/>
    </row>
    <row r="280" spans="5:11" x14ac:dyDescent="0.3">
      <c r="E280" s="73"/>
      <c r="F280" s="70"/>
      <c r="H280" s="71"/>
      <c r="I280" s="70"/>
      <c r="J280" s="70"/>
      <c r="K280" s="74"/>
    </row>
    <row r="281" spans="5:11" x14ac:dyDescent="0.3">
      <c r="E281" s="73"/>
      <c r="F281" s="70"/>
      <c r="H281" s="71"/>
      <c r="I281" s="70"/>
      <c r="J281" s="70"/>
      <c r="K281" s="74"/>
    </row>
    <row r="282" spans="5:11" x14ac:dyDescent="0.3">
      <c r="E282" s="73"/>
      <c r="F282" s="70"/>
      <c r="H282" s="71"/>
      <c r="I282" s="70"/>
      <c r="J282" s="70"/>
      <c r="K282" s="74"/>
    </row>
    <row r="283" spans="5:11" x14ac:dyDescent="0.3">
      <c r="E283" s="73"/>
      <c r="F283" s="70"/>
      <c r="H283" s="71"/>
      <c r="I283" s="70"/>
      <c r="J283" s="70"/>
      <c r="K283" s="74"/>
    </row>
    <row r="284" spans="5:11" x14ac:dyDescent="0.3">
      <c r="E284" s="73"/>
      <c r="F284" s="70"/>
      <c r="H284" s="71"/>
      <c r="I284" s="70"/>
      <c r="J284" s="70"/>
      <c r="K284" s="74"/>
    </row>
    <row r="285" spans="5:11" x14ac:dyDescent="0.3">
      <c r="E285" s="73"/>
      <c r="F285" s="70"/>
      <c r="H285" s="71"/>
      <c r="I285" s="70"/>
      <c r="J285" s="70"/>
      <c r="K285" s="74"/>
    </row>
    <row r="286" spans="5:11" x14ac:dyDescent="0.3">
      <c r="E286" s="73"/>
      <c r="F286" s="70"/>
      <c r="H286" s="71"/>
      <c r="I286" s="70"/>
      <c r="J286" s="70"/>
      <c r="K286" s="74"/>
    </row>
    <row r="287" spans="5:11" x14ac:dyDescent="0.3">
      <c r="E287" s="73"/>
      <c r="F287" s="70"/>
      <c r="H287" s="71"/>
      <c r="I287" s="70"/>
      <c r="J287" s="70"/>
      <c r="K287" s="74"/>
    </row>
    <row r="288" spans="5:11" x14ac:dyDescent="0.3">
      <c r="E288" s="73"/>
      <c r="F288" s="70"/>
      <c r="H288" s="71"/>
      <c r="I288" s="70"/>
      <c r="J288" s="70"/>
      <c r="K288" s="74"/>
    </row>
    <row r="289" spans="5:11" x14ac:dyDescent="0.3">
      <c r="E289" s="73"/>
      <c r="F289" s="70"/>
      <c r="H289" s="71"/>
      <c r="I289" s="70"/>
      <c r="J289" s="70"/>
      <c r="K289" s="74"/>
    </row>
    <row r="290" spans="5:11" x14ac:dyDescent="0.3">
      <c r="E290" s="73"/>
      <c r="F290" s="70"/>
      <c r="H290" s="71"/>
      <c r="I290" s="70"/>
      <c r="J290" s="70"/>
      <c r="K290" s="74"/>
    </row>
    <row r="291" spans="5:11" x14ac:dyDescent="0.3">
      <c r="E291" s="73"/>
      <c r="F291" s="70"/>
      <c r="H291" s="71"/>
      <c r="I291" s="70"/>
      <c r="J291" s="70"/>
      <c r="K291" s="74"/>
    </row>
    <row r="292" spans="5:11" x14ac:dyDescent="0.3">
      <c r="E292" s="73"/>
      <c r="F292" s="70"/>
      <c r="H292" s="71"/>
      <c r="I292" s="70"/>
      <c r="J292" s="70"/>
      <c r="K292" s="74"/>
    </row>
    <row r="293" spans="5:11" x14ac:dyDescent="0.3">
      <c r="E293" s="73"/>
      <c r="F293" s="70"/>
      <c r="H293" s="71"/>
      <c r="I293" s="70"/>
      <c r="J293" s="70"/>
      <c r="K293" s="74"/>
    </row>
    <row r="294" spans="5:11" x14ac:dyDescent="0.3">
      <c r="E294" s="73"/>
      <c r="F294" s="70"/>
      <c r="H294" s="71"/>
      <c r="I294" s="70"/>
      <c r="J294" s="70"/>
      <c r="K294" s="74"/>
    </row>
    <row r="295" spans="5:11" x14ac:dyDescent="0.3">
      <c r="E295" s="73"/>
      <c r="F295" s="70"/>
      <c r="H295" s="71"/>
      <c r="I295" s="70"/>
      <c r="J295" s="70"/>
      <c r="K295" s="74"/>
    </row>
    <row r="296" spans="5:11" x14ac:dyDescent="0.3">
      <c r="E296" s="73"/>
      <c r="F296" s="70"/>
      <c r="H296" s="71"/>
      <c r="I296" s="70"/>
      <c r="J296" s="70"/>
      <c r="K296" s="74"/>
    </row>
    <row r="297" spans="5:11" x14ac:dyDescent="0.3">
      <c r="E297" s="73"/>
      <c r="F297" s="70"/>
      <c r="H297" s="71"/>
      <c r="I297" s="70"/>
      <c r="J297" s="70"/>
      <c r="K297" s="74"/>
    </row>
    <row r="298" spans="5:11" x14ac:dyDescent="0.3">
      <c r="E298" s="73"/>
      <c r="F298" s="70"/>
      <c r="H298" s="71"/>
      <c r="I298" s="70"/>
      <c r="J298" s="70"/>
      <c r="K298" s="74"/>
    </row>
    <row r="299" spans="5:11" x14ac:dyDescent="0.3">
      <c r="E299" s="73"/>
      <c r="F299" s="70"/>
      <c r="H299" s="71"/>
      <c r="I299" s="70"/>
      <c r="J299" s="70"/>
      <c r="K299" s="74"/>
    </row>
    <row r="300" spans="5:11" x14ac:dyDescent="0.3">
      <c r="E300" s="73"/>
      <c r="F300" s="70"/>
      <c r="H300" s="71"/>
      <c r="I300" s="70"/>
      <c r="J300" s="70"/>
      <c r="K300" s="74"/>
    </row>
    <row r="301" spans="5:11" x14ac:dyDescent="0.3">
      <c r="E301" s="73"/>
      <c r="F301" s="70"/>
      <c r="H301" s="71"/>
      <c r="I301" s="70"/>
      <c r="J301" s="70"/>
      <c r="K301" s="74"/>
    </row>
    <row r="302" spans="5:11" x14ac:dyDescent="0.3">
      <c r="E302" s="73"/>
      <c r="F302" s="70"/>
      <c r="H302" s="71"/>
      <c r="I302" s="70"/>
      <c r="J302" s="70"/>
      <c r="K302" s="74"/>
    </row>
    <row r="303" spans="5:11" x14ac:dyDescent="0.3">
      <c r="E303" s="73"/>
      <c r="F303" s="70"/>
      <c r="H303" s="71"/>
      <c r="I303" s="70"/>
      <c r="J303" s="70"/>
      <c r="K303" s="74"/>
    </row>
    <row r="304" spans="5:11" x14ac:dyDescent="0.3">
      <c r="E304" s="73"/>
      <c r="F304" s="70"/>
      <c r="H304" s="71"/>
      <c r="I304" s="70"/>
      <c r="J304" s="70"/>
      <c r="K304" s="74"/>
    </row>
    <row r="305" spans="5:11" x14ac:dyDescent="0.3">
      <c r="E305" s="73"/>
      <c r="F305" s="70"/>
      <c r="H305" s="71"/>
      <c r="I305" s="70"/>
      <c r="J305" s="70"/>
      <c r="K305" s="74"/>
    </row>
    <row r="306" spans="5:11" x14ac:dyDescent="0.3">
      <c r="E306" s="73"/>
      <c r="F306" s="70"/>
      <c r="H306" s="71"/>
      <c r="I306" s="70"/>
      <c r="J306" s="70"/>
      <c r="K306" s="74"/>
    </row>
    <row r="307" spans="5:11" x14ac:dyDescent="0.3">
      <c r="E307" s="73"/>
      <c r="F307" s="70"/>
      <c r="H307" s="71"/>
      <c r="I307" s="70"/>
      <c r="J307" s="70"/>
      <c r="K307" s="74"/>
    </row>
    <row r="308" spans="5:11" x14ac:dyDescent="0.3">
      <c r="E308" s="73"/>
      <c r="F308" s="70"/>
      <c r="H308" s="71"/>
      <c r="I308" s="70"/>
      <c r="J308" s="70"/>
      <c r="K308" s="74"/>
    </row>
    <row r="309" spans="5:11" x14ac:dyDescent="0.3">
      <c r="E309" s="73"/>
      <c r="F309" s="70"/>
      <c r="H309" s="71"/>
      <c r="I309" s="70"/>
      <c r="J309" s="70"/>
      <c r="K309" s="74"/>
    </row>
    <row r="310" spans="5:11" x14ac:dyDescent="0.3">
      <c r="E310" s="73"/>
      <c r="F310" s="70"/>
      <c r="H310" s="71"/>
      <c r="I310" s="70"/>
      <c r="J310" s="70"/>
      <c r="K310" s="74"/>
    </row>
    <row r="311" spans="5:11" x14ac:dyDescent="0.3">
      <c r="E311" s="73"/>
      <c r="F311" s="70"/>
      <c r="H311" s="71"/>
      <c r="I311" s="70"/>
      <c r="J311" s="70"/>
      <c r="K311" s="74"/>
    </row>
    <row r="312" spans="5:11" x14ac:dyDescent="0.3">
      <c r="E312" s="73"/>
      <c r="F312" s="70"/>
      <c r="H312" s="71"/>
      <c r="I312" s="70"/>
      <c r="J312" s="70"/>
      <c r="K312" s="74"/>
    </row>
    <row r="313" spans="5:11" x14ac:dyDescent="0.3">
      <c r="E313" s="73"/>
      <c r="F313" s="70"/>
      <c r="H313" s="71"/>
      <c r="I313" s="70"/>
      <c r="J313" s="70"/>
      <c r="K313" s="74"/>
    </row>
    <row r="314" spans="5:11" x14ac:dyDescent="0.3">
      <c r="E314" s="73"/>
      <c r="F314" s="70"/>
      <c r="H314" s="71"/>
      <c r="I314" s="70"/>
      <c r="J314" s="70"/>
      <c r="K314" s="74"/>
    </row>
    <row r="315" spans="5:11" x14ac:dyDescent="0.3">
      <c r="E315" s="73"/>
      <c r="F315" s="70"/>
      <c r="H315" s="71"/>
      <c r="I315" s="70"/>
      <c r="J315" s="70"/>
      <c r="K315" s="74"/>
    </row>
  </sheetData>
  <autoFilter ref="A2:NR70" xr:uid="{00000000-0001-0000-0000-000000000000}"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</autoFilter>
  <mergeCells count="3">
    <mergeCell ref="H1:J1"/>
    <mergeCell ref="M1:AN1"/>
    <mergeCell ref="M2:AN2"/>
  </mergeCells>
  <phoneticPr fontId="20" type="noConversion"/>
  <conditionalFormatting sqref="E72:E1048576 E1:E4">
    <cfRule type="duplicateValues" dxfId="102" priority="99"/>
  </conditionalFormatting>
  <conditionalFormatting sqref="B62 B15 A5:B5 E5 B8 B11 B18 B21 B24 B27 B30 B33 B36 B39 B42 B45 B48 B51 B54 B57 B60 A6:A65 B65:B66">
    <cfRule type="duplicateValues" dxfId="101" priority="98"/>
  </conditionalFormatting>
  <conditionalFormatting sqref="E6">
    <cfRule type="duplicateValues" dxfId="100" priority="97"/>
  </conditionalFormatting>
  <conditionalFormatting sqref="E6">
    <cfRule type="duplicateValues" dxfId="99" priority="96"/>
  </conditionalFormatting>
  <conditionalFormatting sqref="E7">
    <cfRule type="duplicateValues" dxfId="98" priority="95"/>
  </conditionalFormatting>
  <conditionalFormatting sqref="E7">
    <cfRule type="duplicateValues" dxfId="97" priority="94"/>
  </conditionalFormatting>
  <conditionalFormatting sqref="H8">
    <cfRule type="duplicateValues" dxfId="96" priority="93"/>
  </conditionalFormatting>
  <conditionalFormatting sqref="H10">
    <cfRule type="duplicateValues" dxfId="95" priority="92"/>
  </conditionalFormatting>
  <conditionalFormatting sqref="H11">
    <cfRule type="duplicateValues" dxfId="94" priority="91"/>
  </conditionalFormatting>
  <conditionalFormatting sqref="H12">
    <cfRule type="duplicateValues" dxfId="93" priority="90"/>
  </conditionalFormatting>
  <conditionalFormatting sqref="H13">
    <cfRule type="duplicateValues" dxfId="92" priority="89"/>
  </conditionalFormatting>
  <conditionalFormatting sqref="H15">
    <cfRule type="duplicateValues" dxfId="91" priority="88"/>
  </conditionalFormatting>
  <conditionalFormatting sqref="H16">
    <cfRule type="duplicateValues" dxfId="90" priority="87"/>
  </conditionalFormatting>
  <conditionalFormatting sqref="H18">
    <cfRule type="duplicateValues" dxfId="89" priority="86"/>
  </conditionalFormatting>
  <conditionalFormatting sqref="H17">
    <cfRule type="duplicateValues" dxfId="88" priority="85"/>
  </conditionalFormatting>
  <conditionalFormatting sqref="I15">
    <cfRule type="duplicateValues" dxfId="87" priority="84"/>
  </conditionalFormatting>
  <conditionalFormatting sqref="E19:E20">
    <cfRule type="duplicateValues" dxfId="86" priority="83"/>
  </conditionalFormatting>
  <conditionalFormatting sqref="E21:E25">
    <cfRule type="duplicateValues" dxfId="85" priority="82"/>
  </conditionalFormatting>
  <conditionalFormatting sqref="H19:J25">
    <cfRule type="duplicateValues" dxfId="84" priority="81"/>
  </conditionalFormatting>
  <conditionalFormatting sqref="E31:E36">
    <cfRule type="duplicateValues" dxfId="83" priority="80"/>
  </conditionalFormatting>
  <conditionalFormatting sqref="H31:J36">
    <cfRule type="duplicateValues" dxfId="82" priority="79"/>
  </conditionalFormatting>
  <conditionalFormatting sqref="E52">
    <cfRule type="duplicateValues" dxfId="81" priority="78"/>
  </conditionalFormatting>
  <conditionalFormatting sqref="H59:J59">
    <cfRule type="duplicateValues" dxfId="80" priority="77"/>
  </conditionalFormatting>
  <conditionalFormatting sqref="H59:J59">
    <cfRule type="duplicateValues" dxfId="79" priority="76"/>
  </conditionalFormatting>
  <conditionalFormatting sqref="E59">
    <cfRule type="duplicateValues" dxfId="78" priority="75"/>
  </conditionalFormatting>
  <conditionalFormatting sqref="H59">
    <cfRule type="duplicateValues" dxfId="77" priority="74"/>
  </conditionalFormatting>
  <conditionalFormatting sqref="E54">
    <cfRule type="duplicateValues" dxfId="76" priority="73"/>
  </conditionalFormatting>
  <conditionalFormatting sqref="E54">
    <cfRule type="duplicateValues" dxfId="75" priority="70"/>
    <cfRule type="duplicateValues" dxfId="74" priority="72"/>
  </conditionalFormatting>
  <conditionalFormatting sqref="E54">
    <cfRule type="duplicateValues" dxfId="73" priority="71"/>
  </conditionalFormatting>
  <conditionalFormatting sqref="E55">
    <cfRule type="duplicateValues" dxfId="72" priority="69"/>
  </conditionalFormatting>
  <conditionalFormatting sqref="E55">
    <cfRule type="duplicateValues" dxfId="71" priority="68"/>
  </conditionalFormatting>
  <conditionalFormatting sqref="E56">
    <cfRule type="duplicateValues" dxfId="70" priority="67"/>
  </conditionalFormatting>
  <conditionalFormatting sqref="E56">
    <cfRule type="duplicateValues" dxfId="69" priority="64"/>
    <cfRule type="duplicateValues" dxfId="68" priority="66"/>
  </conditionalFormatting>
  <conditionalFormatting sqref="E56">
    <cfRule type="duplicateValues" dxfId="67" priority="65"/>
  </conditionalFormatting>
  <conditionalFormatting sqref="E57">
    <cfRule type="duplicateValues" dxfId="66" priority="63"/>
  </conditionalFormatting>
  <conditionalFormatting sqref="E57">
    <cfRule type="duplicateValues" dxfId="65" priority="60"/>
    <cfRule type="duplicateValues" dxfId="64" priority="62"/>
  </conditionalFormatting>
  <conditionalFormatting sqref="E57">
    <cfRule type="duplicateValues" dxfId="63" priority="61"/>
  </conditionalFormatting>
  <conditionalFormatting sqref="E58">
    <cfRule type="duplicateValues" dxfId="62" priority="59"/>
  </conditionalFormatting>
  <conditionalFormatting sqref="E58">
    <cfRule type="duplicateValues" dxfId="61" priority="56"/>
    <cfRule type="duplicateValues" dxfId="60" priority="58"/>
  </conditionalFormatting>
  <conditionalFormatting sqref="E58">
    <cfRule type="duplicateValues" dxfId="59" priority="57"/>
  </conditionalFormatting>
  <conditionalFormatting sqref="E60">
    <cfRule type="duplicateValues" dxfId="58" priority="55"/>
  </conditionalFormatting>
  <conditionalFormatting sqref="E60">
    <cfRule type="duplicateValues" dxfId="57" priority="52"/>
    <cfRule type="duplicateValues" dxfId="56" priority="54"/>
  </conditionalFormatting>
  <conditionalFormatting sqref="E60">
    <cfRule type="duplicateValues" dxfId="55" priority="53"/>
  </conditionalFormatting>
  <conditionalFormatting sqref="H65:J65">
    <cfRule type="duplicateValues" dxfId="54" priority="48"/>
  </conditionalFormatting>
  <conditionalFormatting sqref="E69">
    <cfRule type="duplicateValues" dxfId="53" priority="41"/>
  </conditionalFormatting>
  <conditionalFormatting sqref="A69">
    <cfRule type="duplicateValues" dxfId="52" priority="40"/>
  </conditionalFormatting>
  <conditionalFormatting sqref="E62 E70">
    <cfRule type="duplicateValues" dxfId="51" priority="38"/>
  </conditionalFormatting>
  <conditionalFormatting sqref="E62 E70">
    <cfRule type="duplicateValues" dxfId="50" priority="36"/>
    <cfRule type="duplicateValues" dxfId="49" priority="37"/>
  </conditionalFormatting>
  <conditionalFormatting sqref="E62">
    <cfRule type="duplicateValues" dxfId="48" priority="100"/>
  </conditionalFormatting>
  <conditionalFormatting sqref="E63">
    <cfRule type="duplicateValues" dxfId="47" priority="101"/>
  </conditionalFormatting>
  <conditionalFormatting sqref="E64">
    <cfRule type="duplicateValues" dxfId="46" priority="102"/>
  </conditionalFormatting>
  <conditionalFormatting sqref="E66">
    <cfRule type="duplicateValues" dxfId="45" priority="103"/>
  </conditionalFormatting>
  <conditionalFormatting sqref="E61">
    <cfRule type="duplicateValues" dxfId="44" priority="26"/>
  </conditionalFormatting>
  <conditionalFormatting sqref="E61">
    <cfRule type="duplicateValues" dxfId="43" priority="25"/>
  </conditionalFormatting>
  <conditionalFormatting sqref="H5:J14">
    <cfRule type="duplicateValues" dxfId="42" priority="104"/>
  </conditionalFormatting>
  <conditionalFormatting sqref="H9:J14">
    <cfRule type="duplicateValues" dxfId="41" priority="105"/>
  </conditionalFormatting>
  <conditionalFormatting sqref="E10:E14">
    <cfRule type="duplicateValues" dxfId="40" priority="106"/>
  </conditionalFormatting>
  <conditionalFormatting sqref="E67">
    <cfRule type="duplicateValues" dxfId="39" priority="24"/>
  </conditionalFormatting>
  <conditionalFormatting sqref="E63">
    <cfRule type="duplicateValues" dxfId="38" priority="108"/>
  </conditionalFormatting>
  <conditionalFormatting sqref="E63">
    <cfRule type="duplicateValues" dxfId="37" priority="109"/>
    <cfRule type="duplicateValues" dxfId="36" priority="110"/>
  </conditionalFormatting>
  <conditionalFormatting sqref="H42">
    <cfRule type="duplicateValues" dxfId="35" priority="23"/>
  </conditionalFormatting>
  <conditionalFormatting sqref="H43">
    <cfRule type="duplicateValues" dxfId="34" priority="22"/>
  </conditionalFormatting>
  <conditionalFormatting sqref="H44">
    <cfRule type="duplicateValues" dxfId="33" priority="21"/>
  </conditionalFormatting>
  <conditionalFormatting sqref="H45">
    <cfRule type="duplicateValues" dxfId="32" priority="20"/>
  </conditionalFormatting>
  <conditionalFormatting sqref="H46">
    <cfRule type="duplicateValues" dxfId="31" priority="19"/>
  </conditionalFormatting>
  <conditionalFormatting sqref="H47">
    <cfRule type="duplicateValues" dxfId="30" priority="18"/>
  </conditionalFormatting>
  <conditionalFormatting sqref="H48">
    <cfRule type="duplicateValues" dxfId="29" priority="17"/>
  </conditionalFormatting>
  <conditionalFormatting sqref="H49">
    <cfRule type="duplicateValues" dxfId="28" priority="16"/>
  </conditionalFormatting>
  <conditionalFormatting sqref="H50">
    <cfRule type="duplicateValues" dxfId="27" priority="15"/>
  </conditionalFormatting>
  <conditionalFormatting sqref="H51">
    <cfRule type="duplicateValues" dxfId="26" priority="14"/>
  </conditionalFormatting>
  <conditionalFormatting sqref="H53">
    <cfRule type="duplicateValues" dxfId="25" priority="13"/>
  </conditionalFormatting>
  <conditionalFormatting sqref="H52">
    <cfRule type="duplicateValues" dxfId="24" priority="12"/>
  </conditionalFormatting>
  <conditionalFormatting sqref="H67">
    <cfRule type="duplicateValues" dxfId="23" priority="11"/>
  </conditionalFormatting>
  <conditionalFormatting sqref="H65:J65">
    <cfRule type="duplicateValues" dxfId="22" priority="112"/>
  </conditionalFormatting>
  <conditionalFormatting sqref="E65">
    <cfRule type="duplicateValues" dxfId="21" priority="113"/>
  </conditionalFormatting>
  <conditionalFormatting sqref="H65">
    <cfRule type="duplicateValues" dxfId="20" priority="114"/>
  </conditionalFormatting>
  <conditionalFormatting sqref="A68">
    <cfRule type="duplicateValues" dxfId="19" priority="115"/>
  </conditionalFormatting>
  <conditionalFormatting sqref="E64">
    <cfRule type="duplicateValues" dxfId="18" priority="116"/>
  </conditionalFormatting>
  <conditionalFormatting sqref="E64">
    <cfRule type="duplicateValues" dxfId="17" priority="117"/>
    <cfRule type="duplicateValues" dxfId="16" priority="118"/>
  </conditionalFormatting>
  <conditionalFormatting sqref="E66">
    <cfRule type="duplicateValues" dxfId="15" priority="119"/>
  </conditionalFormatting>
  <conditionalFormatting sqref="E66">
    <cfRule type="duplicateValues" dxfId="14" priority="120"/>
    <cfRule type="duplicateValues" dxfId="13" priority="121"/>
  </conditionalFormatting>
  <conditionalFormatting sqref="A66">
    <cfRule type="duplicateValues" dxfId="12" priority="122"/>
  </conditionalFormatting>
  <conditionalFormatting sqref="A67:B67">
    <cfRule type="duplicateValues" dxfId="11" priority="123"/>
  </conditionalFormatting>
  <conditionalFormatting sqref="E71">
    <cfRule type="duplicateValues" dxfId="10" priority="10"/>
  </conditionalFormatting>
  <conditionalFormatting sqref="H71:J71">
    <cfRule type="duplicateValues" dxfId="9" priority="9"/>
  </conditionalFormatting>
  <conditionalFormatting sqref="H72">
    <cfRule type="duplicateValues" dxfId="8" priority="8"/>
  </conditionalFormatting>
  <conditionalFormatting sqref="A70:B71 B72:B75">
    <cfRule type="duplicateValues" dxfId="5" priority="7"/>
  </conditionalFormatting>
  <conditionalFormatting sqref="E14:E65">
    <cfRule type="duplicateValues" dxfId="7" priority="151"/>
  </conditionalFormatting>
  <conditionalFormatting sqref="H74">
    <cfRule type="duplicateValues" dxfId="6" priority="6"/>
  </conditionalFormatting>
  <conditionalFormatting sqref="H75">
    <cfRule type="duplicateValues" dxfId="4" priority="5"/>
  </conditionalFormatting>
  <conditionalFormatting sqref="A75">
    <cfRule type="duplicateValues" dxfId="3" priority="1"/>
  </conditionalFormatting>
  <conditionalFormatting sqref="A74">
    <cfRule type="duplicateValues" dxfId="2" priority="2"/>
  </conditionalFormatting>
  <conditionalFormatting sqref="A72">
    <cfRule type="duplicateValues" dxfId="1" priority="3"/>
  </conditionalFormatting>
  <conditionalFormatting sqref="A73">
    <cfRule type="duplicateValues" dxfId="0" priority="4"/>
  </conditionalFormatting>
  <hyperlinks>
    <hyperlink ref="J23" r:id="rId1" xr:uid="{4A32B249-10BF-427C-864B-81831267BEC3}"/>
    <hyperlink ref="J6" r:id="rId2" xr:uid="{F293623A-6B98-4568-A00D-5EDB36D550F3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февраль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Мандрина, Анастасия Павловна</dc:creator>
  <cp:lastModifiedBy>Исетова, Татьяна Сергеевна</cp:lastModifiedBy>
  <dcterms:created xsi:type="dcterms:W3CDTF">2015-06-05T18:19:34Z</dcterms:created>
  <dcterms:modified xsi:type="dcterms:W3CDTF">2026-02-03T08:33:17Z</dcterms:modified>
</cp:coreProperties>
</file>