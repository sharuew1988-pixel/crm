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Александр\Downloads\"/>
    </mc:Choice>
  </mc:AlternateContent>
  <bookViews>
    <workbookView xWindow="-105" yWindow="-105" windowWidth="23250" windowHeight="12570"/>
  </bookViews>
  <sheets>
    <sheet name="февраль" sheetId="1" r:id="rId1"/>
  </sheets>
  <definedNames>
    <definedName name="_xlnm._FilterDatabase" localSheetId="0" hidden="1">февраль!$A$2:$NR$10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6" i="1" l="1"/>
  <c r="K6" i="1" s="1"/>
  <c r="L7" i="1"/>
  <c r="K7" i="1" s="1"/>
  <c r="L8" i="1"/>
  <c r="K8" i="1" s="1"/>
  <c r="L9" i="1"/>
  <c r="K9" i="1" s="1"/>
  <c r="L10" i="1"/>
  <c r="K10" i="1" s="1"/>
  <c r="L5" i="1"/>
  <c r="K5" i="1" s="1"/>
  <c r="K3" i="1" l="1"/>
</calcChain>
</file>

<file path=xl/sharedStrings.xml><?xml version="1.0" encoding="utf-8"?>
<sst xmlns="http://schemas.openxmlformats.org/spreadsheetml/2006/main" count="100" uniqueCount="59">
  <si>
    <t>ЗАПОЛНЯЕТСЯ УПФ</t>
  </si>
  <si>
    <t>ИД</t>
  </si>
  <si>
    <t>№ п/п</t>
  </si>
  <si>
    <t>ТМ</t>
  </si>
  <si>
    <t>УПФ</t>
  </si>
  <si>
    <t>Адрес объекта КАК В 1с</t>
  </si>
  <si>
    <t>Вид оказываемых услуг</t>
  </si>
  <si>
    <t>Подрядчик</t>
  </si>
  <si>
    <t>ДМ</t>
  </si>
  <si>
    <t>Email</t>
  </si>
  <si>
    <t>Часы</t>
  </si>
  <si>
    <t>Кол-во часов по дням</t>
  </si>
  <si>
    <t>комментарий</t>
  </si>
  <si>
    <t>чт</t>
  </si>
  <si>
    <t>пт</t>
  </si>
  <si>
    <t>сб</t>
  </si>
  <si>
    <t>вс</t>
  </si>
  <si>
    <t>пн</t>
  </si>
  <si>
    <t>вт</t>
  </si>
  <si>
    <t>ср</t>
  </si>
  <si>
    <t>212 руб Без НДС  с 01.09.2025</t>
  </si>
  <si>
    <t>1 аут</t>
  </si>
  <si>
    <t>не более 170 часов</t>
  </si>
  <si>
    <t xml:space="preserve">Телефон </t>
  </si>
  <si>
    <t>Количество</t>
  </si>
  <si>
    <t>2 аут</t>
  </si>
  <si>
    <t>не более 340 часов</t>
  </si>
  <si>
    <t>Сорокина Оксана Валерьевна</t>
  </si>
  <si>
    <t>Вятчанина Татьяна Валерьевна</t>
  </si>
  <si>
    <t>Ишим, Ялуторовская, 91</t>
  </si>
  <si>
    <t>выкладка товара</t>
  </si>
  <si>
    <t>перспектива</t>
  </si>
  <si>
    <t>Долгушев Владислав Сергеевич</t>
  </si>
  <si>
    <t>79129234783</t>
  </si>
  <si>
    <t>vdolgushev@monetka.ru</t>
  </si>
  <si>
    <t>Барышникова Евгения Олеговна</t>
  </si>
  <si>
    <t>Реймер Евгения Юрьевна</t>
  </si>
  <si>
    <t>Тюмень, Станционная, 24, Корпус 1/4, 1/5</t>
  </si>
  <si>
    <t>выкладка товпра</t>
  </si>
  <si>
    <t>Филатова Галина Игоревна</t>
  </si>
  <si>
    <t>79612018739</t>
  </si>
  <si>
    <t>gfilatova@monetka.ru</t>
  </si>
  <si>
    <t>Тюмень, Вербовая, 4, к. 2, пом. 9</t>
  </si>
  <si>
    <t>Шохирева Елена Валерьевна</t>
  </si>
  <si>
    <t>eshohireva@monetka.ru</t>
  </si>
  <si>
    <t>Кулакова Анастасия Георгиевна</t>
  </si>
  <si>
    <t>Тюмень, Ватутина, 16а-1</t>
  </si>
  <si>
    <t>Плаксина Эльвира Можировна</t>
  </si>
  <si>
    <t>79048884849</t>
  </si>
  <si>
    <t>eplaksina@monetka.ru</t>
  </si>
  <si>
    <t>Тюмень, Дружбы, 167, пом. 1</t>
  </si>
  <si>
    <t>Орлов Олег Николаевич</t>
  </si>
  <si>
    <t>79526772968</t>
  </si>
  <si>
    <t>oorlov@monetka.ru</t>
  </si>
  <si>
    <t>Тюмень, Жуковского, 76, корпус 1</t>
  </si>
  <si>
    <t>Тюлькова Надежда Михайловна</t>
  </si>
  <si>
    <t>79129923642</t>
  </si>
  <si>
    <t>ntyulkova@monetka.ru</t>
  </si>
  <si>
    <t>Временно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</si>
</sst>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0.0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sz val="9"/>
      <name val="Calibri"/>
      <family val="2"/>
      <charset val="204"/>
      <scheme val="minor"/>
    </font>
    <font>
      <b/>
      <sz val="9"/>
      <name val="Calibri"/>
      <family val="2"/>
      <charset val="204"/>
      <scheme val="minor"/>
    </font>
    <font>
      <b/>
      <sz val="9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b/>
      <sz val="10"/>
      <name val="Calibri"/>
      <family val="2"/>
      <charset val="204"/>
      <scheme val="minor"/>
    </font>
    <font>
      <b/>
      <sz val="11"/>
      <name val="Times New Roman"/>
      <family val="1"/>
      <charset val="204"/>
    </font>
    <font>
      <b/>
      <sz val="8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0"/>
      <color theme="1"/>
      <name val="Tahoma"/>
      <family val="2"/>
    </font>
    <font>
      <sz val="8"/>
      <name val="Arial"/>
      <family val="2"/>
      <charset val="204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0000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21">
    <xf numFmtId="0" fontId="0" fillId="0" borderId="0"/>
    <xf numFmtId="43" fontId="5" fillId="0" borderId="0" applyFont="0" applyFill="0" applyBorder="0" applyAlignment="0" applyProtection="0"/>
    <xf numFmtId="0" fontId="4" fillId="0" borderId="0"/>
    <xf numFmtId="0" fontId="3" fillId="0" borderId="0"/>
    <xf numFmtId="0" fontId="17" fillId="0" borderId="0"/>
    <xf numFmtId="0" fontId="18" fillId="0" borderId="0">
      <alignment horizontal="left"/>
    </xf>
    <xf numFmtId="0" fontId="3" fillId="0" borderId="0"/>
    <xf numFmtId="0" fontId="3" fillId="0" borderId="0"/>
    <xf numFmtId="0" fontId="5" fillId="0" borderId="0"/>
    <xf numFmtId="0" fontId="3" fillId="0" borderId="0"/>
    <xf numFmtId="0" fontId="18" fillId="0" borderId="0"/>
    <xf numFmtId="0" fontId="18" fillId="0" borderId="0"/>
    <xf numFmtId="0" fontId="18" fillId="0" borderId="0"/>
    <xf numFmtId="43" fontId="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1" fillId="0" borderId="0"/>
    <xf numFmtId="0" fontId="20" fillId="0" borderId="0" applyNumberFormat="0" applyFill="0" applyBorder="0" applyAlignment="0" applyProtection="0"/>
  </cellStyleXfs>
  <cellXfs count="66">
    <xf numFmtId="0" fontId="0" fillId="0" borderId="0" xfId="0"/>
    <xf numFmtId="0" fontId="9" fillId="2" borderId="1" xfId="0" applyFont="1" applyFill="1" applyBorder="1" applyAlignment="1">
      <alignment horizontal="center" vertical="center" wrapText="1"/>
    </xf>
    <xf numFmtId="0" fontId="8" fillId="0" borderId="0" xfId="0" applyFont="1" applyFill="1" applyBorder="1"/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8" fillId="0" borderId="0" xfId="0" applyFont="1" applyFill="1"/>
    <xf numFmtId="0" fontId="8" fillId="0" borderId="1" xfId="0" applyFont="1" applyFill="1" applyBorder="1" applyAlignment="1">
      <alignment horizontal="left"/>
    </xf>
    <xf numFmtId="0" fontId="11" fillId="0" borderId="0" xfId="0" applyFont="1" applyFill="1"/>
    <xf numFmtId="0" fontId="11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3" fillId="3" borderId="6" xfId="0" applyFont="1" applyFill="1" applyBorder="1"/>
    <xf numFmtId="0" fontId="13" fillId="3" borderId="3" xfId="0" applyFont="1" applyFill="1" applyBorder="1"/>
    <xf numFmtId="0" fontId="8" fillId="0" borderId="0" xfId="0" applyFont="1" applyBorder="1" applyAlignment="1">
      <alignment horizontal="center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0" fontId="11" fillId="0" borderId="1" xfId="0" applyFont="1" applyFill="1" applyBorder="1" applyAlignment="1">
      <alignment horizontal="left" vertical="center" wrapText="1"/>
    </xf>
    <xf numFmtId="0" fontId="9" fillId="0" borderId="1" xfId="0" applyFont="1" applyFill="1" applyBorder="1" applyAlignment="1">
      <alignment horizontal="left" vertical="center" wrapText="1"/>
    </xf>
    <xf numFmtId="0" fontId="11" fillId="0" borderId="0" xfId="0" applyFont="1" applyFill="1" applyAlignment="1">
      <alignment horizontal="left"/>
    </xf>
    <xf numFmtId="0" fontId="15" fillId="2" borderId="1" xfId="0" applyFont="1" applyFill="1" applyBorder="1" applyAlignment="1">
      <alignment horizontal="center" vertical="center"/>
    </xf>
    <xf numFmtId="0" fontId="16" fillId="0" borderId="0" xfId="0" applyFont="1" applyFill="1" applyAlignment="1">
      <alignment horizontal="center"/>
    </xf>
    <xf numFmtId="0" fontId="16" fillId="0" borderId="0" xfId="0" applyFont="1" applyFill="1"/>
    <xf numFmtId="0" fontId="16" fillId="4" borderId="0" xfId="0" applyFont="1" applyFill="1"/>
    <xf numFmtId="0" fontId="15" fillId="6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 wrapText="1"/>
    </xf>
    <xf numFmtId="44" fontId="21" fillId="0" borderId="1" xfId="0" applyNumberFormat="1" applyFont="1" applyBorder="1" applyAlignment="1">
      <alignment horizontal="center" vertical="center" wrapText="1"/>
    </xf>
    <xf numFmtId="9" fontId="14" fillId="2" borderId="1" xfId="0" applyNumberFormat="1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 wrapText="1"/>
    </xf>
    <xf numFmtId="164" fontId="21" fillId="2" borderId="1" xfId="0" applyNumberFormat="1" applyFont="1" applyFill="1" applyBorder="1" applyAlignment="1">
      <alignment horizontal="center" vertical="center" wrapText="1"/>
    </xf>
    <xf numFmtId="2" fontId="21" fillId="2" borderId="1" xfId="1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1" xfId="0" applyFont="1" applyBorder="1" applyAlignment="1">
      <alignment horizontal="left"/>
    </xf>
    <xf numFmtId="164" fontId="22" fillId="5" borderId="5" xfId="2" applyNumberFormat="1" applyFont="1" applyFill="1" applyBorder="1" applyAlignment="1" applyProtection="1">
      <alignment horizontal="center" vertical="center"/>
      <protection locked="0"/>
    </xf>
    <xf numFmtId="2" fontId="7" fillId="4" borderId="1" xfId="0" applyNumberFormat="1" applyFont="1" applyFill="1" applyBorder="1" applyAlignment="1" applyProtection="1">
      <alignment horizontal="center" vertical="center"/>
      <protection locked="0"/>
    </xf>
    <xf numFmtId="0" fontId="7" fillId="0" borderId="1" xfId="0" applyFont="1" applyBorder="1" applyAlignment="1">
      <alignment horizontal="center" vertical="center"/>
    </xf>
    <xf numFmtId="0" fontId="20" fillId="0" borderId="1" xfId="20" applyBorder="1" applyAlignment="1">
      <alignment horizontal="left"/>
    </xf>
    <xf numFmtId="0" fontId="8" fillId="4" borderId="1" xfId="0" applyFont="1" applyFill="1" applyBorder="1" applyAlignment="1" applyProtection="1">
      <alignment horizontal="center" vertical="center"/>
      <protection locked="0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0" fontId="11" fillId="0" borderId="0" xfId="0" applyFont="1"/>
    <xf numFmtId="0" fontId="0" fillId="0" borderId="0" xfId="0" applyAlignment="1">
      <alignment horizontal="left"/>
    </xf>
    <xf numFmtId="0" fontId="12" fillId="0" borderId="0" xfId="0" applyFont="1" applyAlignment="1">
      <alignment horizontal="center"/>
    </xf>
    <xf numFmtId="0" fontId="0" fillId="2" borderId="0" xfId="0" applyFill="1" applyAlignment="1">
      <alignment horizontal="left"/>
    </xf>
    <xf numFmtId="0" fontId="11" fillId="2" borderId="0" xfId="0" applyFont="1" applyFill="1" applyAlignment="1">
      <alignment horizontal="center"/>
    </xf>
    <xf numFmtId="0" fontId="11" fillId="2" borderId="0" xfId="0" applyFont="1" applyFill="1" applyAlignment="1">
      <alignment horizontal="left"/>
    </xf>
    <xf numFmtId="0" fontId="12" fillId="2" borderId="0" xfId="0" applyFont="1" applyFill="1" applyAlignment="1">
      <alignment horizontal="center"/>
    </xf>
    <xf numFmtId="0" fontId="16" fillId="6" borderId="1" xfId="0" applyFont="1" applyFill="1" applyBorder="1" applyAlignment="1" applyProtection="1">
      <alignment horizontal="center" vertical="center"/>
      <protection locked="0"/>
    </xf>
    <xf numFmtId="0" fontId="16" fillId="0" borderId="1" xfId="0" applyFont="1" applyBorder="1" applyAlignment="1" applyProtection="1">
      <alignment horizontal="center" vertical="center"/>
      <protection locked="0"/>
    </xf>
    <xf numFmtId="0" fontId="16" fillId="0" borderId="1" xfId="0" applyFont="1" applyBorder="1" applyAlignment="1">
      <alignment horizontal="center"/>
    </xf>
    <xf numFmtId="0" fontId="9" fillId="2" borderId="2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15" fillId="0" borderId="2" xfId="0" applyFont="1" applyFill="1" applyBorder="1" applyAlignment="1">
      <alignment horizontal="center" vertical="center" wrapText="1"/>
    </xf>
    <xf numFmtId="0" fontId="15" fillId="0" borderId="4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/>
    </xf>
  </cellXfs>
  <cellStyles count="21">
    <cellStyle name="Гиперссылка" xfId="20" builtinId="8"/>
    <cellStyle name="Обычный" xfId="0" builtinId="0"/>
    <cellStyle name="Обычный 2" xfId="4"/>
    <cellStyle name="Обычный 2 2" xfId="10"/>
    <cellStyle name="Обычный 27" xfId="19"/>
    <cellStyle name="Обычный 3" xfId="5"/>
    <cellStyle name="Обычный 3 2" xfId="11"/>
    <cellStyle name="Обычный 4" xfId="6"/>
    <cellStyle name="Обычный 4 2" xfId="12"/>
    <cellStyle name="Обычный 4 3" xfId="15"/>
    <cellStyle name="Обычный 5" xfId="2"/>
    <cellStyle name="Обычный 5 2" xfId="7"/>
    <cellStyle name="Обычный 5 3" xfId="16"/>
    <cellStyle name="Обычный 6" xfId="9"/>
    <cellStyle name="Обычный 6 2" xfId="17"/>
    <cellStyle name="Обычный 7" xfId="8"/>
    <cellStyle name="Обычный 8" xfId="3"/>
    <cellStyle name="Обычный 9" xfId="14"/>
    <cellStyle name="Финансовый" xfId="1" builtinId="3"/>
    <cellStyle name="Финансовый 2" xfId="13"/>
    <cellStyle name="Финансовый 3" xfId="18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gfilatova@monetka.r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R250"/>
  <sheetViews>
    <sheetView tabSelected="1" zoomScaleNormal="100" workbookViewId="0">
      <selection activeCell="F20" sqref="F20"/>
    </sheetView>
  </sheetViews>
  <sheetFormatPr defaultColWidth="8.85546875" defaultRowHeight="15" x14ac:dyDescent="0.25"/>
  <cols>
    <col min="1" max="1" width="7.85546875" style="50" customWidth="1"/>
    <col min="2" max="2" width="6" style="50" customWidth="1"/>
    <col min="3" max="3" width="29.85546875" style="49" customWidth="1"/>
    <col min="4" max="4" width="31.28515625" style="49" customWidth="1"/>
    <col min="5" max="5" width="30.140625" style="53" customWidth="1"/>
    <col min="6" max="6" width="17.7109375" style="54" customWidth="1"/>
    <col min="7" max="7" width="15.42578125" style="49" customWidth="1"/>
    <col min="8" max="8" width="28.85546875" style="55" customWidth="1"/>
    <col min="9" max="9" width="13.7109375" style="54" customWidth="1"/>
    <col min="10" max="10" width="17.140625" style="54" customWidth="1"/>
    <col min="11" max="11" width="15.42578125" style="56" customWidth="1"/>
    <col min="12" max="12" width="13.7109375" style="48" customWidth="1"/>
    <col min="13" max="13" width="3.7109375" style="21" customWidth="1"/>
    <col min="14" max="31" width="3.7109375" style="22" customWidth="1"/>
    <col min="32" max="32" width="3.7109375" style="23" customWidth="1"/>
    <col min="33" max="33" width="3.7109375" style="22" customWidth="1"/>
    <col min="34" max="34" width="3.28515625" style="22" customWidth="1"/>
    <col min="35" max="40" width="3.7109375" style="22" customWidth="1"/>
    <col min="41" max="41" width="28.42578125" style="19" customWidth="1"/>
    <col min="42" max="42" width="8.85546875" style="7" customWidth="1"/>
    <col min="43" max="43" width="8.85546875" style="2" customWidth="1"/>
    <col min="44" max="382" width="8.85546875" style="2"/>
    <col min="383" max="16384" width="8.85546875" style="5"/>
  </cols>
  <sheetData>
    <row r="1" spans="1:43" ht="45" x14ac:dyDescent="0.2">
      <c r="A1" s="25"/>
      <c r="B1" s="8"/>
      <c r="C1" s="26"/>
      <c r="D1" s="26"/>
      <c r="E1" s="27" t="s">
        <v>0</v>
      </c>
      <c r="F1" s="9"/>
      <c r="G1" s="28"/>
      <c r="H1" s="60" t="s">
        <v>0</v>
      </c>
      <c r="I1" s="61"/>
      <c r="J1" s="62"/>
      <c r="K1" s="29" t="s">
        <v>20</v>
      </c>
      <c r="L1" s="30">
        <v>1924650</v>
      </c>
      <c r="M1" s="63" t="s">
        <v>0</v>
      </c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4"/>
      <c r="AJ1" s="64"/>
      <c r="AK1" s="64"/>
      <c r="AL1" s="64"/>
      <c r="AM1" s="64"/>
      <c r="AN1" s="64"/>
      <c r="AO1" s="17"/>
      <c r="AP1" s="10" t="s">
        <v>21</v>
      </c>
      <c r="AQ1" s="10" t="s">
        <v>22</v>
      </c>
    </row>
    <row r="2" spans="1:43" ht="24" x14ac:dyDescent="0.2">
      <c r="A2" s="11" t="s">
        <v>1</v>
      </c>
      <c r="B2" s="1" t="s">
        <v>2</v>
      </c>
      <c r="C2" s="31" t="s">
        <v>3</v>
      </c>
      <c r="D2" s="31" t="s">
        <v>4</v>
      </c>
      <c r="E2" s="32" t="s">
        <v>5</v>
      </c>
      <c r="F2" s="1" t="s">
        <v>6</v>
      </c>
      <c r="G2" s="1" t="s">
        <v>7</v>
      </c>
      <c r="H2" s="1" t="s">
        <v>8</v>
      </c>
      <c r="I2" s="1" t="s">
        <v>23</v>
      </c>
      <c r="J2" s="1" t="s">
        <v>9</v>
      </c>
      <c r="K2" s="1" t="s">
        <v>24</v>
      </c>
      <c r="L2" s="33" t="s">
        <v>10</v>
      </c>
      <c r="M2" s="65" t="s">
        <v>11</v>
      </c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5"/>
      <c r="AL2" s="65"/>
      <c r="AM2" s="65"/>
      <c r="AN2" s="65"/>
      <c r="AO2" s="18" t="s">
        <v>12</v>
      </c>
      <c r="AP2" s="12" t="s">
        <v>25</v>
      </c>
      <c r="AQ2" s="13" t="s">
        <v>26</v>
      </c>
    </row>
    <row r="3" spans="1:43" x14ac:dyDescent="0.2">
      <c r="A3" s="25"/>
      <c r="B3" s="3"/>
      <c r="C3" s="16"/>
      <c r="D3" s="16"/>
      <c r="E3" s="34"/>
      <c r="F3" s="3"/>
      <c r="G3" s="4"/>
      <c r="H3" s="4"/>
      <c r="I3" s="3"/>
      <c r="J3" s="3"/>
      <c r="K3" s="35">
        <f>SUM(K5:K107)</f>
        <v>6.7411764705882362</v>
      </c>
      <c r="L3" s="36">
        <v>8554</v>
      </c>
      <c r="M3" s="20" t="s">
        <v>16</v>
      </c>
      <c r="N3" s="20" t="s">
        <v>17</v>
      </c>
      <c r="O3" s="20" t="s">
        <v>18</v>
      </c>
      <c r="P3" s="20" t="s">
        <v>19</v>
      </c>
      <c r="Q3" s="20" t="s">
        <v>13</v>
      </c>
      <c r="R3" s="20" t="s">
        <v>14</v>
      </c>
      <c r="S3" s="20" t="s">
        <v>15</v>
      </c>
      <c r="T3" s="20" t="s">
        <v>16</v>
      </c>
      <c r="U3" s="20" t="s">
        <v>17</v>
      </c>
      <c r="V3" s="20" t="s">
        <v>18</v>
      </c>
      <c r="W3" s="20" t="s">
        <v>19</v>
      </c>
      <c r="X3" s="20" t="s">
        <v>13</v>
      </c>
      <c r="Y3" s="20" t="s">
        <v>14</v>
      </c>
      <c r="Z3" s="20" t="s">
        <v>15</v>
      </c>
      <c r="AA3" s="20" t="s">
        <v>16</v>
      </c>
      <c r="AB3" s="20" t="s">
        <v>17</v>
      </c>
      <c r="AC3" s="20" t="s">
        <v>18</v>
      </c>
      <c r="AD3" s="20" t="s">
        <v>19</v>
      </c>
      <c r="AE3" s="20" t="s">
        <v>13</v>
      </c>
      <c r="AF3" s="20" t="s">
        <v>14</v>
      </c>
      <c r="AG3" s="20" t="s">
        <v>15</v>
      </c>
      <c r="AH3" s="20" t="s">
        <v>16</v>
      </c>
      <c r="AI3" s="20" t="s">
        <v>17</v>
      </c>
      <c r="AJ3" s="20" t="s">
        <v>18</v>
      </c>
      <c r="AK3" s="20" t="s">
        <v>19</v>
      </c>
      <c r="AL3" s="20" t="s">
        <v>13</v>
      </c>
      <c r="AM3" s="20" t="s">
        <v>14</v>
      </c>
      <c r="AN3" s="20" t="s">
        <v>15</v>
      </c>
      <c r="AO3" s="6"/>
      <c r="AP3" s="14"/>
      <c r="AQ3" s="14"/>
    </row>
    <row r="4" spans="1:43" x14ac:dyDescent="0.2">
      <c r="A4" s="37"/>
      <c r="B4" s="15"/>
      <c r="C4" s="16"/>
      <c r="D4" s="16"/>
      <c r="E4" s="38"/>
      <c r="F4" s="15"/>
      <c r="G4" s="16"/>
      <c r="H4" s="16"/>
      <c r="I4" s="15"/>
      <c r="J4" s="15"/>
      <c r="K4" s="39"/>
      <c r="L4" s="15"/>
      <c r="M4" s="24">
        <v>1</v>
      </c>
      <c r="N4" s="20">
        <v>2</v>
      </c>
      <c r="O4" s="20">
        <v>3</v>
      </c>
      <c r="P4" s="20">
        <v>4</v>
      </c>
      <c r="Q4" s="20">
        <v>5</v>
      </c>
      <c r="R4" s="20">
        <v>6</v>
      </c>
      <c r="S4" s="24">
        <v>7</v>
      </c>
      <c r="T4" s="24">
        <v>8</v>
      </c>
      <c r="U4" s="20">
        <v>9</v>
      </c>
      <c r="V4" s="20">
        <v>10</v>
      </c>
      <c r="W4" s="20">
        <v>11</v>
      </c>
      <c r="X4" s="20">
        <v>12</v>
      </c>
      <c r="Y4" s="20">
        <v>13</v>
      </c>
      <c r="Z4" s="24">
        <v>14</v>
      </c>
      <c r="AA4" s="24">
        <v>15</v>
      </c>
      <c r="AB4" s="20">
        <v>16</v>
      </c>
      <c r="AC4" s="20">
        <v>17</v>
      </c>
      <c r="AD4" s="20">
        <v>18</v>
      </c>
      <c r="AE4" s="20">
        <v>19</v>
      </c>
      <c r="AF4" s="20">
        <v>20</v>
      </c>
      <c r="AG4" s="24">
        <v>21</v>
      </c>
      <c r="AH4" s="24">
        <v>22</v>
      </c>
      <c r="AI4" s="20">
        <v>23</v>
      </c>
      <c r="AJ4" s="20">
        <v>24</v>
      </c>
      <c r="AK4" s="20">
        <v>25</v>
      </c>
      <c r="AL4" s="20">
        <v>26</v>
      </c>
      <c r="AM4" s="20">
        <v>27</v>
      </c>
      <c r="AN4" s="24">
        <v>28</v>
      </c>
      <c r="AO4" s="6"/>
      <c r="AP4" s="14"/>
      <c r="AQ4" s="14"/>
    </row>
    <row r="5" spans="1:43" x14ac:dyDescent="0.25">
      <c r="A5" s="40">
        <v>4334</v>
      </c>
      <c r="B5" s="41">
        <v>1</v>
      </c>
      <c r="C5" s="42" t="s">
        <v>27</v>
      </c>
      <c r="D5" s="42" t="s">
        <v>28</v>
      </c>
      <c r="E5" s="42" t="s">
        <v>29</v>
      </c>
      <c r="F5" s="40" t="s">
        <v>30</v>
      </c>
      <c r="G5" s="40" t="s">
        <v>31</v>
      </c>
      <c r="H5" s="42" t="s">
        <v>32</v>
      </c>
      <c r="I5" s="40" t="s">
        <v>33</v>
      </c>
      <c r="J5" s="42" t="s">
        <v>34</v>
      </c>
      <c r="K5" s="43">
        <f>L5/170</f>
        <v>1</v>
      </c>
      <c r="L5" s="44">
        <f>SUM(M5:AN5)</f>
        <v>170</v>
      </c>
      <c r="M5" s="57">
        <v>11</v>
      </c>
      <c r="N5" s="58">
        <v>11</v>
      </c>
      <c r="O5" s="58"/>
      <c r="P5" s="58">
        <v>11</v>
      </c>
      <c r="Q5" s="58">
        <v>11</v>
      </c>
      <c r="R5" s="58"/>
      <c r="S5" s="57"/>
      <c r="T5" s="57">
        <v>11</v>
      </c>
      <c r="U5" s="58">
        <v>11</v>
      </c>
      <c r="V5" s="58"/>
      <c r="W5" s="58"/>
      <c r="X5" s="58">
        <v>11</v>
      </c>
      <c r="Y5" s="58">
        <v>11</v>
      </c>
      <c r="Z5" s="57"/>
      <c r="AA5" s="57"/>
      <c r="AB5" s="58">
        <v>11</v>
      </c>
      <c r="AC5" s="58">
        <v>11</v>
      </c>
      <c r="AD5" s="58"/>
      <c r="AE5" s="58"/>
      <c r="AF5" s="58">
        <v>12</v>
      </c>
      <c r="AG5" s="57">
        <v>12</v>
      </c>
      <c r="AH5" s="57"/>
      <c r="AI5" s="58"/>
      <c r="AJ5" s="58">
        <v>12</v>
      </c>
      <c r="AK5" s="58">
        <v>12</v>
      </c>
      <c r="AL5" s="58"/>
      <c r="AM5" s="58"/>
      <c r="AN5" s="57">
        <v>12</v>
      </c>
      <c r="AO5" s="59" t="s">
        <v>58</v>
      </c>
    </row>
    <row r="6" spans="1:43" x14ac:dyDescent="0.25">
      <c r="A6" s="40">
        <v>780</v>
      </c>
      <c r="B6" s="45">
        <v>2</v>
      </c>
      <c r="C6" s="42" t="s">
        <v>35</v>
      </c>
      <c r="D6" s="42" t="s">
        <v>36</v>
      </c>
      <c r="E6" s="42" t="s">
        <v>37</v>
      </c>
      <c r="F6" s="40" t="s">
        <v>38</v>
      </c>
      <c r="G6" s="40" t="s">
        <v>31</v>
      </c>
      <c r="H6" s="42" t="s">
        <v>39</v>
      </c>
      <c r="I6" s="40" t="s">
        <v>40</v>
      </c>
      <c r="J6" s="46" t="s">
        <v>41</v>
      </c>
      <c r="K6" s="43">
        <f t="shared" ref="K6:K10" si="0">L6/170</f>
        <v>1.9764705882352942</v>
      </c>
      <c r="L6" s="44">
        <f t="shared" ref="L6:L10" si="1">SUM(M6:AN6)</f>
        <v>336</v>
      </c>
      <c r="M6" s="57">
        <v>16</v>
      </c>
      <c r="N6" s="58">
        <v>16</v>
      </c>
      <c r="O6" s="58"/>
      <c r="P6" s="58">
        <v>16</v>
      </c>
      <c r="Q6" s="58">
        <v>16</v>
      </c>
      <c r="R6" s="58">
        <v>16</v>
      </c>
      <c r="S6" s="57">
        <v>16</v>
      </c>
      <c r="T6" s="57">
        <v>16</v>
      </c>
      <c r="U6" s="58"/>
      <c r="V6" s="58"/>
      <c r="W6" s="58">
        <v>16</v>
      </c>
      <c r="X6" s="58">
        <v>16</v>
      </c>
      <c r="Y6" s="58">
        <v>16</v>
      </c>
      <c r="Z6" s="57">
        <v>16</v>
      </c>
      <c r="AA6" s="57">
        <v>16</v>
      </c>
      <c r="AB6" s="58"/>
      <c r="AC6" s="58"/>
      <c r="AD6" s="58">
        <v>16</v>
      </c>
      <c r="AE6" s="58">
        <v>16</v>
      </c>
      <c r="AF6" s="58">
        <v>16</v>
      </c>
      <c r="AG6" s="57">
        <v>16</v>
      </c>
      <c r="AH6" s="57">
        <v>16</v>
      </c>
      <c r="AI6" s="58"/>
      <c r="AJ6" s="58"/>
      <c r="AK6" s="58">
        <v>16</v>
      </c>
      <c r="AL6" s="58">
        <v>16</v>
      </c>
      <c r="AM6" s="58">
        <v>16</v>
      </c>
      <c r="AN6" s="57">
        <v>16</v>
      </c>
      <c r="AO6" s="59" t="s">
        <v>58</v>
      </c>
    </row>
    <row r="7" spans="1:43" x14ac:dyDescent="0.25">
      <c r="A7" s="40">
        <v>2955</v>
      </c>
      <c r="B7" s="47">
        <v>3</v>
      </c>
      <c r="C7" s="42" t="s">
        <v>35</v>
      </c>
      <c r="D7" s="42" t="s">
        <v>36</v>
      </c>
      <c r="E7" s="42" t="s">
        <v>42</v>
      </c>
      <c r="F7" s="40" t="s">
        <v>30</v>
      </c>
      <c r="G7" s="40" t="s">
        <v>31</v>
      </c>
      <c r="H7" s="42" t="s">
        <v>43</v>
      </c>
      <c r="I7" s="40">
        <v>79829324253</v>
      </c>
      <c r="J7" s="42" t="s">
        <v>44</v>
      </c>
      <c r="K7" s="43">
        <f t="shared" si="0"/>
        <v>0.94117647058823528</v>
      </c>
      <c r="L7" s="44">
        <f t="shared" si="1"/>
        <v>160</v>
      </c>
      <c r="M7" s="57">
        <v>8</v>
      </c>
      <c r="N7" s="58">
        <v>8</v>
      </c>
      <c r="O7" s="58"/>
      <c r="P7" s="58"/>
      <c r="Q7" s="58">
        <v>8</v>
      </c>
      <c r="R7" s="58">
        <v>8</v>
      </c>
      <c r="S7" s="57">
        <v>8</v>
      </c>
      <c r="T7" s="57">
        <v>8</v>
      </c>
      <c r="U7" s="58">
        <v>8</v>
      </c>
      <c r="V7" s="58"/>
      <c r="W7" s="58"/>
      <c r="X7" s="58">
        <v>8</v>
      </c>
      <c r="Y7" s="58">
        <v>8</v>
      </c>
      <c r="Z7" s="57">
        <v>8</v>
      </c>
      <c r="AA7" s="57">
        <v>8</v>
      </c>
      <c r="AB7" s="58">
        <v>8</v>
      </c>
      <c r="AC7" s="58"/>
      <c r="AD7" s="58"/>
      <c r="AE7" s="58">
        <v>8</v>
      </c>
      <c r="AF7" s="58">
        <v>8</v>
      </c>
      <c r="AG7" s="57">
        <v>8</v>
      </c>
      <c r="AH7" s="57">
        <v>8</v>
      </c>
      <c r="AI7" s="58">
        <v>8</v>
      </c>
      <c r="AJ7" s="58"/>
      <c r="AK7" s="58"/>
      <c r="AL7" s="58">
        <v>8</v>
      </c>
      <c r="AM7" s="58">
        <v>8</v>
      </c>
      <c r="AN7" s="57">
        <v>8</v>
      </c>
      <c r="AO7" s="59" t="s">
        <v>58</v>
      </c>
    </row>
    <row r="8" spans="1:43" x14ac:dyDescent="0.25">
      <c r="A8" s="40">
        <v>582</v>
      </c>
      <c r="B8" s="41">
        <v>4</v>
      </c>
      <c r="C8" s="42" t="s">
        <v>27</v>
      </c>
      <c r="D8" s="42" t="s">
        <v>45</v>
      </c>
      <c r="E8" s="42" t="s">
        <v>46</v>
      </c>
      <c r="F8" s="40" t="s">
        <v>30</v>
      </c>
      <c r="G8" s="40" t="s">
        <v>31</v>
      </c>
      <c r="H8" s="42" t="s">
        <v>47</v>
      </c>
      <c r="I8" s="40" t="s">
        <v>48</v>
      </c>
      <c r="J8" s="42" t="s">
        <v>49</v>
      </c>
      <c r="K8" s="43">
        <f t="shared" si="0"/>
        <v>0.94117647058823528</v>
      </c>
      <c r="L8" s="44">
        <f t="shared" si="1"/>
        <v>160</v>
      </c>
      <c r="M8" s="57">
        <v>8</v>
      </c>
      <c r="N8" s="58">
        <v>8</v>
      </c>
      <c r="O8" s="58">
        <v>8</v>
      </c>
      <c r="P8" s="58"/>
      <c r="Q8" s="58"/>
      <c r="R8" s="58">
        <v>8</v>
      </c>
      <c r="S8" s="57">
        <v>8</v>
      </c>
      <c r="T8" s="57">
        <v>8</v>
      </c>
      <c r="U8" s="58">
        <v>8</v>
      </c>
      <c r="V8" s="58">
        <v>8</v>
      </c>
      <c r="W8" s="58"/>
      <c r="X8" s="58"/>
      <c r="Y8" s="58">
        <v>8</v>
      </c>
      <c r="Z8" s="57">
        <v>8</v>
      </c>
      <c r="AA8" s="57">
        <v>8</v>
      </c>
      <c r="AB8" s="58">
        <v>8</v>
      </c>
      <c r="AC8" s="58">
        <v>8</v>
      </c>
      <c r="AD8" s="58"/>
      <c r="AE8" s="58"/>
      <c r="AF8" s="58">
        <v>8</v>
      </c>
      <c r="AG8" s="57">
        <v>8</v>
      </c>
      <c r="AH8" s="57">
        <v>8</v>
      </c>
      <c r="AI8" s="58">
        <v>8</v>
      </c>
      <c r="AJ8" s="58">
        <v>8</v>
      </c>
      <c r="AK8" s="58"/>
      <c r="AL8" s="58"/>
      <c r="AM8" s="58">
        <v>8</v>
      </c>
      <c r="AN8" s="57">
        <v>8</v>
      </c>
      <c r="AO8" s="59"/>
    </row>
    <row r="9" spans="1:43" x14ac:dyDescent="0.25">
      <c r="A9" s="40">
        <v>3725</v>
      </c>
      <c r="B9" s="45">
        <v>5</v>
      </c>
      <c r="C9" s="42" t="s">
        <v>27</v>
      </c>
      <c r="D9" s="42" t="s">
        <v>45</v>
      </c>
      <c r="E9" s="42" t="s">
        <v>50</v>
      </c>
      <c r="F9" s="40" t="s">
        <v>30</v>
      </c>
      <c r="G9" s="40" t="s">
        <v>31</v>
      </c>
      <c r="H9" s="42" t="s">
        <v>51</v>
      </c>
      <c r="I9" s="40" t="s">
        <v>52</v>
      </c>
      <c r="J9" s="42" t="s">
        <v>53</v>
      </c>
      <c r="K9" s="43">
        <f t="shared" si="0"/>
        <v>0.94117647058823528</v>
      </c>
      <c r="L9" s="44">
        <f t="shared" si="1"/>
        <v>160</v>
      </c>
      <c r="M9" s="57">
        <v>8</v>
      </c>
      <c r="N9" s="58">
        <v>8</v>
      </c>
      <c r="O9" s="58">
        <v>8</v>
      </c>
      <c r="P9" s="58"/>
      <c r="Q9" s="58"/>
      <c r="R9" s="58">
        <v>8</v>
      </c>
      <c r="S9" s="57">
        <v>8</v>
      </c>
      <c r="T9" s="57">
        <v>8</v>
      </c>
      <c r="U9" s="58">
        <v>8</v>
      </c>
      <c r="V9" s="58">
        <v>8</v>
      </c>
      <c r="W9" s="58"/>
      <c r="X9" s="58"/>
      <c r="Y9" s="58">
        <v>8</v>
      </c>
      <c r="Z9" s="57">
        <v>8</v>
      </c>
      <c r="AA9" s="57">
        <v>8</v>
      </c>
      <c r="AB9" s="58">
        <v>8</v>
      </c>
      <c r="AC9" s="58">
        <v>8</v>
      </c>
      <c r="AD9" s="58"/>
      <c r="AE9" s="58"/>
      <c r="AF9" s="58">
        <v>8</v>
      </c>
      <c r="AG9" s="57">
        <v>8</v>
      </c>
      <c r="AH9" s="57">
        <v>8</v>
      </c>
      <c r="AI9" s="58">
        <v>8</v>
      </c>
      <c r="AJ9" s="58">
        <v>8</v>
      </c>
      <c r="AK9" s="58"/>
      <c r="AL9" s="58"/>
      <c r="AM9" s="58">
        <v>8</v>
      </c>
      <c r="AN9" s="57">
        <v>8</v>
      </c>
      <c r="AO9" s="59"/>
    </row>
    <row r="10" spans="1:43" x14ac:dyDescent="0.25">
      <c r="A10" s="40">
        <v>1038</v>
      </c>
      <c r="B10" s="47">
        <v>6</v>
      </c>
      <c r="C10" s="42" t="s">
        <v>27</v>
      </c>
      <c r="D10" s="42" t="s">
        <v>45</v>
      </c>
      <c r="E10" s="42" t="s">
        <v>54</v>
      </c>
      <c r="F10" s="40" t="s">
        <v>30</v>
      </c>
      <c r="G10" s="40" t="s">
        <v>31</v>
      </c>
      <c r="H10" s="42" t="s">
        <v>55</v>
      </c>
      <c r="I10" s="40" t="s">
        <v>56</v>
      </c>
      <c r="J10" s="42" t="s">
        <v>57</v>
      </c>
      <c r="K10" s="43">
        <f t="shared" si="0"/>
        <v>0.94117647058823528</v>
      </c>
      <c r="L10" s="44">
        <f t="shared" si="1"/>
        <v>160</v>
      </c>
      <c r="M10" s="57">
        <v>8</v>
      </c>
      <c r="N10" s="58">
        <v>8</v>
      </c>
      <c r="O10" s="58">
        <v>8</v>
      </c>
      <c r="P10" s="58"/>
      <c r="Q10" s="58"/>
      <c r="R10" s="58">
        <v>8</v>
      </c>
      <c r="S10" s="57">
        <v>8</v>
      </c>
      <c r="T10" s="57">
        <v>8</v>
      </c>
      <c r="U10" s="58">
        <v>8</v>
      </c>
      <c r="V10" s="58">
        <v>8</v>
      </c>
      <c r="W10" s="58"/>
      <c r="X10" s="58"/>
      <c r="Y10" s="58">
        <v>8</v>
      </c>
      <c r="Z10" s="57">
        <v>8</v>
      </c>
      <c r="AA10" s="57">
        <v>8</v>
      </c>
      <c r="AB10" s="58">
        <v>8</v>
      </c>
      <c r="AC10" s="58">
        <v>8</v>
      </c>
      <c r="AD10" s="58"/>
      <c r="AE10" s="58"/>
      <c r="AF10" s="58">
        <v>8</v>
      </c>
      <c r="AG10" s="57">
        <v>8</v>
      </c>
      <c r="AH10" s="57">
        <v>8</v>
      </c>
      <c r="AI10" s="58">
        <v>8</v>
      </c>
      <c r="AJ10" s="58">
        <v>8</v>
      </c>
      <c r="AK10" s="58"/>
      <c r="AL10" s="58"/>
      <c r="AM10" s="58">
        <v>8</v>
      </c>
      <c r="AN10" s="57">
        <v>8</v>
      </c>
      <c r="AO10" s="59"/>
    </row>
    <row r="11" spans="1:43" x14ac:dyDescent="0.25">
      <c r="E11" s="51"/>
      <c r="F11" s="48"/>
      <c r="H11" s="49"/>
      <c r="I11" s="48"/>
      <c r="J11" s="48"/>
      <c r="K11" s="52"/>
    </row>
    <row r="12" spans="1:43" x14ac:dyDescent="0.25">
      <c r="E12" s="51"/>
      <c r="F12" s="48"/>
      <c r="H12" s="49"/>
      <c r="I12" s="48"/>
      <c r="J12" s="48"/>
      <c r="K12" s="52"/>
    </row>
    <row r="13" spans="1:43" x14ac:dyDescent="0.25">
      <c r="E13" s="51"/>
      <c r="F13" s="48"/>
      <c r="H13" s="49"/>
      <c r="I13" s="48"/>
      <c r="J13" s="48"/>
      <c r="K13" s="52"/>
    </row>
    <row r="14" spans="1:43" x14ac:dyDescent="0.25">
      <c r="E14" s="51"/>
      <c r="F14" s="48"/>
      <c r="H14" s="49"/>
      <c r="I14" s="48"/>
      <c r="J14" s="48"/>
      <c r="K14" s="52"/>
    </row>
    <row r="15" spans="1:43" x14ac:dyDescent="0.25">
      <c r="E15" s="51"/>
      <c r="F15" s="48"/>
      <c r="H15" s="49"/>
      <c r="I15" s="48"/>
      <c r="J15" s="48"/>
      <c r="K15" s="52"/>
    </row>
    <row r="16" spans="1:43" x14ac:dyDescent="0.25">
      <c r="E16" s="51"/>
      <c r="F16" s="48"/>
      <c r="H16" s="49"/>
      <c r="I16" s="48"/>
      <c r="J16" s="48"/>
      <c r="K16" s="52"/>
    </row>
    <row r="17" spans="5:11" x14ac:dyDescent="0.25">
      <c r="E17" s="51"/>
      <c r="F17" s="48"/>
      <c r="H17" s="49"/>
      <c r="I17" s="48"/>
      <c r="J17" s="48"/>
      <c r="K17" s="52"/>
    </row>
    <row r="18" spans="5:11" x14ac:dyDescent="0.25">
      <c r="E18" s="51"/>
      <c r="F18" s="48"/>
      <c r="H18" s="49"/>
      <c r="I18" s="48"/>
      <c r="J18" s="48"/>
      <c r="K18" s="52"/>
    </row>
    <row r="19" spans="5:11" x14ac:dyDescent="0.25">
      <c r="E19" s="51"/>
      <c r="F19" s="48"/>
      <c r="H19" s="49"/>
      <c r="I19" s="48"/>
      <c r="J19" s="48"/>
      <c r="K19" s="52"/>
    </row>
    <row r="20" spans="5:11" x14ac:dyDescent="0.25">
      <c r="E20" s="51"/>
      <c r="F20" s="48"/>
      <c r="H20" s="49"/>
      <c r="I20" s="48"/>
      <c r="J20" s="48"/>
      <c r="K20" s="52"/>
    </row>
    <row r="21" spans="5:11" x14ac:dyDescent="0.25">
      <c r="E21" s="51"/>
      <c r="F21" s="48"/>
      <c r="H21" s="49"/>
      <c r="I21" s="48"/>
      <c r="J21" s="48"/>
      <c r="K21" s="52"/>
    </row>
    <row r="22" spans="5:11" x14ac:dyDescent="0.25">
      <c r="E22" s="51"/>
      <c r="F22" s="48"/>
      <c r="H22" s="49"/>
      <c r="I22" s="48"/>
      <c r="J22" s="48"/>
      <c r="K22" s="52"/>
    </row>
    <row r="23" spans="5:11" x14ac:dyDescent="0.25">
      <c r="E23" s="51"/>
      <c r="F23" s="48"/>
      <c r="H23" s="49"/>
      <c r="I23" s="48"/>
      <c r="J23" s="48"/>
      <c r="K23" s="52"/>
    </row>
    <row r="24" spans="5:11" x14ac:dyDescent="0.25">
      <c r="E24" s="51"/>
      <c r="F24" s="48"/>
      <c r="H24" s="49"/>
      <c r="I24" s="48"/>
      <c r="J24" s="48"/>
      <c r="K24" s="52"/>
    </row>
    <row r="25" spans="5:11" x14ac:dyDescent="0.25">
      <c r="E25" s="51"/>
      <c r="F25" s="48"/>
      <c r="H25" s="49"/>
      <c r="I25" s="48"/>
      <c r="J25" s="48"/>
      <c r="K25" s="52"/>
    </row>
    <row r="26" spans="5:11" x14ac:dyDescent="0.25">
      <c r="E26" s="51"/>
      <c r="F26" s="48"/>
      <c r="H26" s="49"/>
      <c r="I26" s="48"/>
      <c r="J26" s="48"/>
      <c r="K26" s="52"/>
    </row>
    <row r="27" spans="5:11" x14ac:dyDescent="0.25">
      <c r="E27" s="51"/>
      <c r="F27" s="48"/>
      <c r="H27" s="49"/>
      <c r="I27" s="48"/>
      <c r="J27" s="48"/>
      <c r="K27" s="52"/>
    </row>
    <row r="28" spans="5:11" x14ac:dyDescent="0.25">
      <c r="E28" s="51"/>
      <c r="F28" s="48"/>
      <c r="H28" s="49"/>
      <c r="I28" s="48"/>
      <c r="J28" s="48"/>
      <c r="K28" s="52"/>
    </row>
    <row r="29" spans="5:11" x14ac:dyDescent="0.25">
      <c r="E29" s="51"/>
      <c r="F29" s="48"/>
      <c r="H29" s="49"/>
      <c r="I29" s="48"/>
      <c r="J29" s="48"/>
      <c r="K29" s="52"/>
    </row>
    <row r="30" spans="5:11" x14ac:dyDescent="0.25">
      <c r="E30" s="51"/>
      <c r="F30" s="48"/>
      <c r="H30" s="49"/>
      <c r="I30" s="48"/>
      <c r="J30" s="48"/>
      <c r="K30" s="52"/>
    </row>
    <row r="31" spans="5:11" x14ac:dyDescent="0.25">
      <c r="E31" s="51"/>
      <c r="F31" s="48"/>
      <c r="H31" s="49"/>
      <c r="I31" s="48"/>
      <c r="J31" s="48"/>
      <c r="K31" s="52"/>
    </row>
    <row r="32" spans="5:11" x14ac:dyDescent="0.25">
      <c r="E32" s="51"/>
      <c r="F32" s="48"/>
      <c r="H32" s="49"/>
      <c r="I32" s="48"/>
      <c r="J32" s="48"/>
      <c r="K32" s="52"/>
    </row>
    <row r="33" spans="5:11" x14ac:dyDescent="0.25">
      <c r="E33" s="51"/>
      <c r="F33" s="48"/>
      <c r="H33" s="49"/>
      <c r="I33" s="48"/>
      <c r="J33" s="48"/>
      <c r="K33" s="52"/>
    </row>
    <row r="34" spans="5:11" x14ac:dyDescent="0.25">
      <c r="E34" s="51"/>
      <c r="F34" s="48"/>
      <c r="H34" s="49"/>
      <c r="I34" s="48"/>
      <c r="J34" s="48"/>
      <c r="K34" s="52"/>
    </row>
    <row r="35" spans="5:11" x14ac:dyDescent="0.25">
      <c r="E35" s="51"/>
      <c r="F35" s="48"/>
      <c r="H35" s="49"/>
      <c r="I35" s="48"/>
      <c r="J35" s="48"/>
      <c r="K35" s="52"/>
    </row>
    <row r="36" spans="5:11" x14ac:dyDescent="0.25">
      <c r="E36" s="51"/>
      <c r="F36" s="48"/>
      <c r="H36" s="49"/>
      <c r="I36" s="48"/>
      <c r="J36" s="48"/>
      <c r="K36" s="52"/>
    </row>
    <row r="37" spans="5:11" x14ac:dyDescent="0.25">
      <c r="E37" s="51"/>
      <c r="F37" s="48"/>
      <c r="H37" s="49"/>
      <c r="I37" s="48"/>
      <c r="J37" s="48"/>
      <c r="K37" s="52"/>
    </row>
    <row r="38" spans="5:11" x14ac:dyDescent="0.25">
      <c r="E38" s="51"/>
      <c r="F38" s="48"/>
      <c r="H38" s="49"/>
      <c r="I38" s="48"/>
      <c r="J38" s="48"/>
      <c r="K38" s="52"/>
    </row>
    <row r="39" spans="5:11" x14ac:dyDescent="0.25">
      <c r="E39" s="51"/>
      <c r="F39" s="48"/>
      <c r="H39" s="49"/>
      <c r="I39" s="48"/>
      <c r="J39" s="48"/>
      <c r="K39" s="52"/>
    </row>
    <row r="40" spans="5:11" x14ac:dyDescent="0.25">
      <c r="E40" s="51"/>
      <c r="F40" s="48"/>
      <c r="H40" s="49"/>
      <c r="I40" s="48"/>
      <c r="J40" s="48"/>
      <c r="K40" s="52"/>
    </row>
    <row r="41" spans="5:11" x14ac:dyDescent="0.25">
      <c r="E41" s="51"/>
      <c r="F41" s="48"/>
      <c r="H41" s="49"/>
      <c r="I41" s="48"/>
      <c r="J41" s="48"/>
      <c r="K41" s="52"/>
    </row>
    <row r="42" spans="5:11" x14ac:dyDescent="0.25">
      <c r="E42" s="51"/>
      <c r="F42" s="48"/>
      <c r="H42" s="49"/>
      <c r="I42" s="48"/>
      <c r="J42" s="48"/>
      <c r="K42" s="52"/>
    </row>
    <row r="43" spans="5:11" x14ac:dyDescent="0.25">
      <c r="E43" s="51"/>
      <c r="F43" s="48"/>
      <c r="H43" s="49"/>
      <c r="I43" s="48"/>
      <c r="J43" s="48"/>
      <c r="K43" s="52"/>
    </row>
    <row r="44" spans="5:11" x14ac:dyDescent="0.25">
      <c r="E44" s="51"/>
      <c r="F44" s="48"/>
      <c r="H44" s="49"/>
      <c r="I44" s="48"/>
      <c r="J44" s="48"/>
      <c r="K44" s="52"/>
    </row>
    <row r="45" spans="5:11" x14ac:dyDescent="0.25">
      <c r="E45" s="51"/>
      <c r="F45" s="48"/>
      <c r="H45" s="49"/>
      <c r="I45" s="48"/>
      <c r="J45" s="48"/>
      <c r="K45" s="52"/>
    </row>
    <row r="46" spans="5:11" x14ac:dyDescent="0.25">
      <c r="E46" s="51"/>
      <c r="F46" s="48"/>
      <c r="H46" s="49"/>
      <c r="I46" s="48"/>
      <c r="J46" s="48"/>
      <c r="K46" s="52"/>
    </row>
    <row r="47" spans="5:11" x14ac:dyDescent="0.25">
      <c r="E47" s="51"/>
      <c r="F47" s="48"/>
      <c r="H47" s="49"/>
      <c r="I47" s="48"/>
      <c r="J47" s="48"/>
      <c r="K47" s="52"/>
    </row>
    <row r="48" spans="5:11" x14ac:dyDescent="0.25">
      <c r="E48" s="51"/>
      <c r="F48" s="48"/>
      <c r="H48" s="49"/>
      <c r="I48" s="48"/>
      <c r="J48" s="48"/>
      <c r="K48" s="52"/>
    </row>
    <row r="49" spans="5:11" x14ac:dyDescent="0.25">
      <c r="E49" s="51"/>
      <c r="F49" s="48"/>
      <c r="H49" s="49"/>
      <c r="I49" s="48"/>
      <c r="J49" s="48"/>
      <c r="K49" s="52"/>
    </row>
    <row r="50" spans="5:11" x14ac:dyDescent="0.25">
      <c r="E50" s="51"/>
      <c r="F50" s="48"/>
      <c r="H50" s="49"/>
      <c r="I50" s="48"/>
      <c r="J50" s="48"/>
      <c r="K50" s="52"/>
    </row>
    <row r="51" spans="5:11" x14ac:dyDescent="0.25">
      <c r="E51" s="51"/>
      <c r="F51" s="48"/>
      <c r="H51" s="49"/>
      <c r="I51" s="48"/>
      <c r="J51" s="48"/>
      <c r="K51" s="52"/>
    </row>
    <row r="52" spans="5:11" x14ac:dyDescent="0.25">
      <c r="E52" s="51"/>
      <c r="F52" s="48"/>
      <c r="H52" s="49"/>
      <c r="I52" s="48"/>
      <c r="J52" s="48"/>
      <c r="K52" s="52"/>
    </row>
    <row r="53" spans="5:11" x14ac:dyDescent="0.25">
      <c r="E53" s="51"/>
      <c r="F53" s="48"/>
      <c r="H53" s="49"/>
      <c r="I53" s="48"/>
      <c r="J53" s="48"/>
      <c r="K53" s="52"/>
    </row>
    <row r="54" spans="5:11" x14ac:dyDescent="0.25">
      <c r="E54" s="51"/>
      <c r="F54" s="48"/>
      <c r="H54" s="49"/>
      <c r="I54" s="48"/>
      <c r="J54" s="48"/>
      <c r="K54" s="52"/>
    </row>
    <row r="55" spans="5:11" x14ac:dyDescent="0.25">
      <c r="E55" s="51"/>
      <c r="F55" s="48"/>
      <c r="H55" s="49"/>
      <c r="I55" s="48"/>
      <c r="J55" s="48"/>
      <c r="K55" s="52"/>
    </row>
    <row r="56" spans="5:11" x14ac:dyDescent="0.25">
      <c r="E56" s="51"/>
      <c r="F56" s="48"/>
      <c r="H56" s="49"/>
      <c r="I56" s="48"/>
      <c r="J56" s="48"/>
      <c r="K56" s="52"/>
    </row>
    <row r="57" spans="5:11" x14ac:dyDescent="0.25">
      <c r="E57" s="51"/>
      <c r="F57" s="48"/>
      <c r="H57" s="49"/>
      <c r="I57" s="48"/>
      <c r="J57" s="48"/>
      <c r="K57" s="52"/>
    </row>
    <row r="58" spans="5:11" x14ac:dyDescent="0.25">
      <c r="E58" s="51"/>
      <c r="F58" s="48"/>
      <c r="H58" s="49"/>
      <c r="I58" s="48"/>
      <c r="J58" s="48"/>
      <c r="K58" s="52"/>
    </row>
    <row r="59" spans="5:11" x14ac:dyDescent="0.25">
      <c r="E59" s="51"/>
      <c r="F59" s="48"/>
      <c r="H59" s="49"/>
      <c r="I59" s="48"/>
      <c r="J59" s="48"/>
      <c r="K59" s="52"/>
    </row>
    <row r="60" spans="5:11" x14ac:dyDescent="0.25">
      <c r="E60" s="51"/>
      <c r="F60" s="48"/>
      <c r="H60" s="49"/>
      <c r="I60" s="48"/>
      <c r="J60" s="48"/>
      <c r="K60" s="52"/>
    </row>
    <row r="61" spans="5:11" x14ac:dyDescent="0.25">
      <c r="E61" s="51"/>
      <c r="F61" s="48"/>
      <c r="H61" s="49"/>
      <c r="I61" s="48"/>
      <c r="J61" s="48"/>
      <c r="K61" s="52"/>
    </row>
    <row r="62" spans="5:11" x14ac:dyDescent="0.25">
      <c r="E62" s="51"/>
      <c r="F62" s="48"/>
      <c r="H62" s="49"/>
      <c r="I62" s="48"/>
      <c r="J62" s="48"/>
      <c r="K62" s="52"/>
    </row>
    <row r="63" spans="5:11" x14ac:dyDescent="0.25">
      <c r="E63" s="51"/>
      <c r="F63" s="48"/>
      <c r="H63" s="49"/>
      <c r="I63" s="48"/>
      <c r="J63" s="48"/>
      <c r="K63" s="52"/>
    </row>
    <row r="64" spans="5:11" x14ac:dyDescent="0.25">
      <c r="E64" s="51"/>
      <c r="F64" s="48"/>
      <c r="H64" s="49"/>
      <c r="I64" s="48"/>
      <c r="J64" s="48"/>
      <c r="K64" s="52"/>
    </row>
    <row r="65" spans="5:11" x14ac:dyDescent="0.25">
      <c r="E65" s="51"/>
      <c r="F65" s="48"/>
      <c r="H65" s="49"/>
      <c r="I65" s="48"/>
      <c r="J65" s="48"/>
      <c r="K65" s="52"/>
    </row>
    <row r="66" spans="5:11" x14ac:dyDescent="0.25">
      <c r="E66" s="51"/>
      <c r="F66" s="48"/>
      <c r="H66" s="49"/>
      <c r="I66" s="48"/>
      <c r="J66" s="48"/>
      <c r="K66" s="52"/>
    </row>
    <row r="67" spans="5:11" x14ac:dyDescent="0.25">
      <c r="E67" s="51"/>
      <c r="F67" s="48"/>
      <c r="H67" s="49"/>
      <c r="I67" s="48"/>
      <c r="J67" s="48"/>
      <c r="K67" s="52"/>
    </row>
    <row r="68" spans="5:11" x14ac:dyDescent="0.25">
      <c r="E68" s="51"/>
      <c r="F68" s="48"/>
      <c r="H68" s="49"/>
      <c r="I68" s="48"/>
      <c r="J68" s="48"/>
      <c r="K68" s="52"/>
    </row>
    <row r="69" spans="5:11" x14ac:dyDescent="0.25">
      <c r="E69" s="51"/>
      <c r="F69" s="48"/>
      <c r="H69" s="49"/>
      <c r="I69" s="48"/>
      <c r="J69" s="48"/>
      <c r="K69" s="52"/>
    </row>
    <row r="70" spans="5:11" x14ac:dyDescent="0.25">
      <c r="E70" s="51"/>
      <c r="F70" s="48"/>
      <c r="H70" s="49"/>
      <c r="I70" s="48"/>
      <c r="J70" s="48"/>
      <c r="K70" s="52"/>
    </row>
    <row r="71" spans="5:11" x14ac:dyDescent="0.25">
      <c r="E71" s="51"/>
      <c r="F71" s="48"/>
      <c r="H71" s="49"/>
      <c r="I71" s="48"/>
      <c r="J71" s="48"/>
      <c r="K71" s="52"/>
    </row>
    <row r="72" spans="5:11" x14ac:dyDescent="0.25">
      <c r="E72" s="51"/>
      <c r="F72" s="48"/>
      <c r="H72" s="49"/>
      <c r="I72" s="48"/>
      <c r="J72" s="48"/>
      <c r="K72" s="52"/>
    </row>
    <row r="73" spans="5:11" x14ac:dyDescent="0.25">
      <c r="E73" s="51"/>
      <c r="F73" s="48"/>
      <c r="H73" s="49"/>
      <c r="I73" s="48"/>
      <c r="J73" s="48"/>
      <c r="K73" s="52"/>
    </row>
    <row r="74" spans="5:11" x14ac:dyDescent="0.25">
      <c r="E74" s="51"/>
      <c r="F74" s="48"/>
      <c r="H74" s="49"/>
      <c r="I74" s="48"/>
      <c r="J74" s="48"/>
      <c r="K74" s="52"/>
    </row>
    <row r="75" spans="5:11" x14ac:dyDescent="0.25">
      <c r="E75" s="51"/>
      <c r="F75" s="48"/>
      <c r="H75" s="49"/>
      <c r="I75" s="48"/>
      <c r="J75" s="48"/>
      <c r="K75" s="52"/>
    </row>
    <row r="76" spans="5:11" x14ac:dyDescent="0.25">
      <c r="E76" s="51"/>
      <c r="F76" s="48"/>
      <c r="H76" s="49"/>
      <c r="I76" s="48"/>
      <c r="J76" s="48"/>
      <c r="K76" s="52"/>
    </row>
    <row r="77" spans="5:11" x14ac:dyDescent="0.25">
      <c r="E77" s="51"/>
      <c r="F77" s="48"/>
      <c r="H77" s="49"/>
      <c r="I77" s="48"/>
      <c r="J77" s="48"/>
      <c r="K77" s="52"/>
    </row>
    <row r="78" spans="5:11" x14ac:dyDescent="0.25">
      <c r="E78" s="51"/>
      <c r="F78" s="48"/>
      <c r="H78" s="49"/>
      <c r="I78" s="48"/>
      <c r="J78" s="48"/>
      <c r="K78" s="52"/>
    </row>
    <row r="79" spans="5:11" x14ac:dyDescent="0.25">
      <c r="E79" s="51"/>
      <c r="F79" s="48"/>
      <c r="H79" s="49"/>
      <c r="I79" s="48"/>
      <c r="J79" s="48"/>
      <c r="K79" s="52"/>
    </row>
    <row r="80" spans="5:11" x14ac:dyDescent="0.25">
      <c r="E80" s="51"/>
      <c r="F80" s="48"/>
      <c r="H80" s="49"/>
      <c r="I80" s="48"/>
      <c r="J80" s="48"/>
      <c r="K80" s="52"/>
    </row>
    <row r="81" spans="5:11" x14ac:dyDescent="0.25">
      <c r="E81" s="51"/>
      <c r="F81" s="48"/>
      <c r="H81" s="49"/>
      <c r="I81" s="48"/>
      <c r="J81" s="48"/>
      <c r="K81" s="52"/>
    </row>
    <row r="82" spans="5:11" x14ac:dyDescent="0.25">
      <c r="E82" s="51"/>
      <c r="F82" s="48"/>
      <c r="H82" s="49"/>
      <c r="I82" s="48"/>
      <c r="J82" s="48"/>
      <c r="K82" s="52"/>
    </row>
    <row r="83" spans="5:11" x14ac:dyDescent="0.25">
      <c r="E83" s="51"/>
      <c r="F83" s="48"/>
      <c r="H83" s="49"/>
      <c r="I83" s="48"/>
      <c r="J83" s="48"/>
      <c r="K83" s="52"/>
    </row>
    <row r="84" spans="5:11" x14ac:dyDescent="0.25">
      <c r="E84" s="51"/>
      <c r="F84" s="48"/>
      <c r="H84" s="49"/>
      <c r="I84" s="48"/>
      <c r="J84" s="48"/>
      <c r="K84" s="52"/>
    </row>
    <row r="85" spans="5:11" x14ac:dyDescent="0.25">
      <c r="E85" s="51"/>
      <c r="F85" s="48"/>
      <c r="H85" s="49"/>
      <c r="I85" s="48"/>
      <c r="J85" s="48"/>
      <c r="K85" s="52"/>
    </row>
    <row r="86" spans="5:11" x14ac:dyDescent="0.25">
      <c r="E86" s="51"/>
      <c r="F86" s="48"/>
      <c r="H86" s="49"/>
      <c r="I86" s="48"/>
      <c r="J86" s="48"/>
      <c r="K86" s="52"/>
    </row>
    <row r="87" spans="5:11" x14ac:dyDescent="0.25">
      <c r="E87" s="51"/>
      <c r="F87" s="48"/>
      <c r="H87" s="49"/>
      <c r="I87" s="48"/>
      <c r="J87" s="48"/>
      <c r="K87" s="52"/>
    </row>
    <row r="88" spans="5:11" x14ac:dyDescent="0.25">
      <c r="E88" s="51"/>
      <c r="F88" s="48"/>
      <c r="H88" s="49"/>
      <c r="I88" s="48"/>
      <c r="J88" s="48"/>
      <c r="K88" s="52"/>
    </row>
    <row r="89" spans="5:11" x14ac:dyDescent="0.25">
      <c r="E89" s="51"/>
      <c r="F89" s="48"/>
      <c r="H89" s="49"/>
      <c r="I89" s="48"/>
      <c r="J89" s="48"/>
      <c r="K89" s="52"/>
    </row>
    <row r="90" spans="5:11" x14ac:dyDescent="0.25">
      <c r="E90" s="51"/>
      <c r="F90" s="48"/>
      <c r="H90" s="49"/>
      <c r="I90" s="48"/>
      <c r="J90" s="48"/>
      <c r="K90" s="52"/>
    </row>
    <row r="91" spans="5:11" x14ac:dyDescent="0.25">
      <c r="E91" s="51"/>
      <c r="F91" s="48"/>
      <c r="H91" s="49"/>
      <c r="I91" s="48"/>
      <c r="J91" s="48"/>
      <c r="K91" s="52"/>
    </row>
    <row r="92" spans="5:11" x14ac:dyDescent="0.25">
      <c r="E92" s="51"/>
      <c r="F92" s="48"/>
      <c r="H92" s="49"/>
      <c r="I92" s="48"/>
      <c r="J92" s="48"/>
      <c r="K92" s="52"/>
    </row>
    <row r="93" spans="5:11" x14ac:dyDescent="0.25">
      <c r="E93" s="51"/>
      <c r="F93" s="48"/>
      <c r="H93" s="49"/>
      <c r="I93" s="48"/>
      <c r="J93" s="48"/>
      <c r="K93" s="52"/>
    </row>
    <row r="94" spans="5:11" x14ac:dyDescent="0.25">
      <c r="E94" s="51"/>
      <c r="F94" s="48"/>
      <c r="H94" s="49"/>
      <c r="I94" s="48"/>
      <c r="J94" s="48"/>
      <c r="K94" s="52"/>
    </row>
    <row r="95" spans="5:11" x14ac:dyDescent="0.25">
      <c r="E95" s="51"/>
      <c r="F95" s="48"/>
      <c r="H95" s="49"/>
      <c r="I95" s="48"/>
      <c r="J95" s="48"/>
      <c r="K95" s="52"/>
    </row>
    <row r="96" spans="5:11" x14ac:dyDescent="0.25">
      <c r="E96" s="51"/>
      <c r="F96" s="48"/>
      <c r="H96" s="49"/>
      <c r="I96" s="48"/>
      <c r="J96" s="48"/>
      <c r="K96" s="52"/>
    </row>
    <row r="97" spans="5:11" x14ac:dyDescent="0.25">
      <c r="E97" s="51"/>
      <c r="F97" s="48"/>
      <c r="H97" s="49"/>
      <c r="I97" s="48"/>
      <c r="J97" s="48"/>
      <c r="K97" s="52"/>
    </row>
    <row r="98" spans="5:11" x14ac:dyDescent="0.25">
      <c r="E98" s="51"/>
      <c r="F98" s="48"/>
      <c r="H98" s="49"/>
      <c r="I98" s="48"/>
      <c r="J98" s="48"/>
      <c r="K98" s="52"/>
    </row>
    <row r="99" spans="5:11" x14ac:dyDescent="0.25">
      <c r="E99" s="51"/>
      <c r="F99" s="48"/>
      <c r="H99" s="49"/>
      <c r="I99" s="48"/>
      <c r="J99" s="48"/>
      <c r="K99" s="52"/>
    </row>
    <row r="100" spans="5:11" x14ac:dyDescent="0.25">
      <c r="E100" s="51"/>
      <c r="F100" s="48"/>
      <c r="H100" s="49"/>
      <c r="I100" s="48"/>
      <c r="J100" s="48"/>
      <c r="K100" s="52"/>
    </row>
    <row r="101" spans="5:11" x14ac:dyDescent="0.25">
      <c r="E101" s="51"/>
      <c r="F101" s="48"/>
      <c r="H101" s="49"/>
      <c r="I101" s="48"/>
      <c r="J101" s="48"/>
      <c r="K101" s="52"/>
    </row>
    <row r="102" spans="5:11" x14ac:dyDescent="0.25">
      <c r="E102" s="51"/>
      <c r="F102" s="48"/>
      <c r="H102" s="49"/>
      <c r="I102" s="48"/>
      <c r="J102" s="48"/>
      <c r="K102" s="52"/>
    </row>
    <row r="103" spans="5:11" x14ac:dyDescent="0.25">
      <c r="E103" s="51"/>
      <c r="F103" s="48"/>
      <c r="H103" s="49"/>
      <c r="I103" s="48"/>
      <c r="J103" s="48"/>
      <c r="K103" s="52"/>
    </row>
    <row r="104" spans="5:11" x14ac:dyDescent="0.25">
      <c r="E104" s="51"/>
      <c r="F104" s="48"/>
      <c r="H104" s="49"/>
      <c r="I104" s="48"/>
      <c r="J104" s="48"/>
      <c r="K104" s="52"/>
    </row>
    <row r="105" spans="5:11" x14ac:dyDescent="0.25">
      <c r="E105" s="51"/>
      <c r="F105" s="48"/>
      <c r="H105" s="49"/>
      <c r="I105" s="48"/>
      <c r="J105" s="48"/>
      <c r="K105" s="52"/>
    </row>
    <row r="106" spans="5:11" x14ac:dyDescent="0.25">
      <c r="E106" s="51"/>
      <c r="F106" s="48"/>
      <c r="H106" s="49"/>
      <c r="I106" s="48"/>
      <c r="J106" s="48"/>
      <c r="K106" s="52"/>
    </row>
    <row r="107" spans="5:11" x14ac:dyDescent="0.25">
      <c r="E107" s="51"/>
      <c r="F107" s="48"/>
      <c r="H107" s="49"/>
      <c r="I107" s="48"/>
      <c r="J107" s="48"/>
      <c r="K107" s="52"/>
    </row>
    <row r="108" spans="5:11" x14ac:dyDescent="0.25">
      <c r="E108" s="51"/>
      <c r="F108" s="48"/>
      <c r="H108" s="49"/>
      <c r="I108" s="48"/>
      <c r="J108" s="48"/>
      <c r="K108" s="52"/>
    </row>
    <row r="109" spans="5:11" x14ac:dyDescent="0.25">
      <c r="E109" s="51"/>
      <c r="F109" s="48"/>
      <c r="H109" s="49"/>
      <c r="I109" s="48"/>
      <c r="J109" s="48"/>
      <c r="K109" s="52"/>
    </row>
    <row r="110" spans="5:11" x14ac:dyDescent="0.25">
      <c r="E110" s="51"/>
      <c r="F110" s="48"/>
      <c r="H110" s="49"/>
      <c r="I110" s="48"/>
      <c r="J110" s="48"/>
      <c r="K110" s="52"/>
    </row>
    <row r="111" spans="5:11" x14ac:dyDescent="0.25">
      <c r="E111" s="51"/>
      <c r="F111" s="48"/>
      <c r="H111" s="49"/>
      <c r="I111" s="48"/>
      <c r="J111" s="48"/>
      <c r="K111" s="52"/>
    </row>
    <row r="112" spans="5:11" x14ac:dyDescent="0.25">
      <c r="E112" s="51"/>
      <c r="F112" s="48"/>
      <c r="H112" s="49"/>
      <c r="I112" s="48"/>
      <c r="J112" s="48"/>
      <c r="K112" s="52"/>
    </row>
    <row r="113" spans="5:11" x14ac:dyDescent="0.25">
      <c r="E113" s="51"/>
      <c r="F113" s="48"/>
      <c r="H113" s="49"/>
      <c r="I113" s="48"/>
      <c r="J113" s="48"/>
      <c r="K113" s="52"/>
    </row>
    <row r="114" spans="5:11" x14ac:dyDescent="0.25">
      <c r="E114" s="51"/>
      <c r="F114" s="48"/>
      <c r="H114" s="49"/>
      <c r="I114" s="48"/>
      <c r="J114" s="48"/>
      <c r="K114" s="52"/>
    </row>
    <row r="115" spans="5:11" x14ac:dyDescent="0.25">
      <c r="E115" s="51"/>
      <c r="F115" s="48"/>
      <c r="H115" s="49"/>
      <c r="I115" s="48"/>
      <c r="J115" s="48"/>
      <c r="K115" s="52"/>
    </row>
    <row r="116" spans="5:11" x14ac:dyDescent="0.25">
      <c r="E116" s="51"/>
      <c r="F116" s="48"/>
      <c r="H116" s="49"/>
      <c r="I116" s="48"/>
      <c r="J116" s="48"/>
      <c r="K116" s="52"/>
    </row>
    <row r="117" spans="5:11" x14ac:dyDescent="0.25">
      <c r="E117" s="51"/>
      <c r="F117" s="48"/>
      <c r="H117" s="49"/>
      <c r="I117" s="48"/>
      <c r="J117" s="48"/>
      <c r="K117" s="52"/>
    </row>
    <row r="118" spans="5:11" x14ac:dyDescent="0.25">
      <c r="E118" s="51"/>
      <c r="F118" s="48"/>
      <c r="H118" s="49"/>
      <c r="I118" s="48"/>
      <c r="J118" s="48"/>
      <c r="K118" s="52"/>
    </row>
    <row r="119" spans="5:11" x14ac:dyDescent="0.25">
      <c r="E119" s="51"/>
      <c r="F119" s="48"/>
      <c r="H119" s="49"/>
      <c r="I119" s="48"/>
      <c r="J119" s="48"/>
      <c r="K119" s="52"/>
    </row>
    <row r="120" spans="5:11" x14ac:dyDescent="0.25">
      <c r="E120" s="51"/>
      <c r="F120" s="48"/>
      <c r="H120" s="49"/>
      <c r="I120" s="48"/>
      <c r="J120" s="48"/>
      <c r="K120" s="52"/>
    </row>
    <row r="121" spans="5:11" x14ac:dyDescent="0.25">
      <c r="E121" s="51"/>
      <c r="F121" s="48"/>
      <c r="H121" s="49"/>
      <c r="I121" s="48"/>
      <c r="J121" s="48"/>
      <c r="K121" s="52"/>
    </row>
    <row r="122" spans="5:11" x14ac:dyDescent="0.25">
      <c r="E122" s="51"/>
      <c r="F122" s="48"/>
      <c r="H122" s="49"/>
      <c r="I122" s="48"/>
      <c r="J122" s="48"/>
      <c r="K122" s="52"/>
    </row>
    <row r="123" spans="5:11" x14ac:dyDescent="0.25">
      <c r="E123" s="51"/>
      <c r="F123" s="48"/>
      <c r="H123" s="49"/>
      <c r="I123" s="48"/>
      <c r="J123" s="48"/>
      <c r="K123" s="52"/>
    </row>
    <row r="124" spans="5:11" x14ac:dyDescent="0.25">
      <c r="E124" s="51"/>
      <c r="F124" s="48"/>
      <c r="H124" s="49"/>
      <c r="I124" s="48"/>
      <c r="J124" s="48"/>
      <c r="K124" s="52"/>
    </row>
    <row r="125" spans="5:11" x14ac:dyDescent="0.25">
      <c r="E125" s="51"/>
      <c r="F125" s="48"/>
      <c r="H125" s="49"/>
      <c r="I125" s="48"/>
      <c r="J125" s="48"/>
      <c r="K125" s="52"/>
    </row>
    <row r="126" spans="5:11" x14ac:dyDescent="0.25">
      <c r="E126" s="51"/>
      <c r="F126" s="48"/>
      <c r="H126" s="49"/>
      <c r="I126" s="48"/>
      <c r="J126" s="48"/>
      <c r="K126" s="52"/>
    </row>
    <row r="127" spans="5:11" x14ac:dyDescent="0.25">
      <c r="E127" s="51"/>
      <c r="F127" s="48"/>
      <c r="H127" s="49"/>
      <c r="I127" s="48"/>
      <c r="J127" s="48"/>
      <c r="K127" s="52"/>
    </row>
    <row r="128" spans="5:11" x14ac:dyDescent="0.25">
      <c r="E128" s="51"/>
      <c r="F128" s="48"/>
      <c r="H128" s="49"/>
      <c r="I128" s="48"/>
      <c r="J128" s="48"/>
      <c r="K128" s="52"/>
    </row>
    <row r="129" spans="5:11" x14ac:dyDescent="0.25">
      <c r="E129" s="51"/>
      <c r="F129" s="48"/>
      <c r="H129" s="49"/>
      <c r="I129" s="48"/>
      <c r="J129" s="48"/>
      <c r="K129" s="52"/>
    </row>
    <row r="130" spans="5:11" x14ac:dyDescent="0.25">
      <c r="E130" s="51"/>
      <c r="F130" s="48"/>
      <c r="H130" s="49"/>
      <c r="I130" s="48"/>
      <c r="J130" s="48"/>
      <c r="K130" s="52"/>
    </row>
    <row r="131" spans="5:11" x14ac:dyDescent="0.25">
      <c r="E131" s="51"/>
      <c r="F131" s="48"/>
      <c r="H131" s="49"/>
      <c r="I131" s="48"/>
      <c r="J131" s="48"/>
      <c r="K131" s="52"/>
    </row>
    <row r="132" spans="5:11" x14ac:dyDescent="0.25">
      <c r="E132" s="51"/>
      <c r="F132" s="48"/>
      <c r="H132" s="49"/>
      <c r="I132" s="48"/>
      <c r="J132" s="48"/>
      <c r="K132" s="52"/>
    </row>
    <row r="133" spans="5:11" x14ac:dyDescent="0.25">
      <c r="E133" s="51"/>
      <c r="F133" s="48"/>
      <c r="H133" s="49"/>
      <c r="I133" s="48"/>
      <c r="J133" s="48"/>
      <c r="K133" s="52"/>
    </row>
    <row r="134" spans="5:11" x14ac:dyDescent="0.25">
      <c r="E134" s="51"/>
      <c r="F134" s="48"/>
      <c r="H134" s="49"/>
      <c r="I134" s="48"/>
      <c r="J134" s="48"/>
      <c r="K134" s="52"/>
    </row>
    <row r="135" spans="5:11" x14ac:dyDescent="0.25">
      <c r="E135" s="51"/>
      <c r="F135" s="48"/>
      <c r="H135" s="49"/>
      <c r="I135" s="48"/>
      <c r="J135" s="48"/>
      <c r="K135" s="52"/>
    </row>
    <row r="136" spans="5:11" x14ac:dyDescent="0.25">
      <c r="E136" s="51"/>
      <c r="F136" s="48"/>
      <c r="H136" s="49"/>
      <c r="I136" s="48"/>
      <c r="J136" s="48"/>
      <c r="K136" s="52"/>
    </row>
    <row r="137" spans="5:11" x14ac:dyDescent="0.25">
      <c r="E137" s="51"/>
      <c r="F137" s="48"/>
      <c r="H137" s="49"/>
      <c r="I137" s="48"/>
      <c r="J137" s="48"/>
      <c r="K137" s="52"/>
    </row>
    <row r="138" spans="5:11" x14ac:dyDescent="0.25">
      <c r="E138" s="51"/>
      <c r="F138" s="48"/>
      <c r="H138" s="49"/>
      <c r="I138" s="48"/>
      <c r="J138" s="48"/>
      <c r="K138" s="52"/>
    </row>
    <row r="139" spans="5:11" x14ac:dyDescent="0.25">
      <c r="E139" s="51"/>
      <c r="F139" s="48"/>
      <c r="H139" s="49"/>
      <c r="I139" s="48"/>
      <c r="J139" s="48"/>
      <c r="K139" s="52"/>
    </row>
    <row r="140" spans="5:11" x14ac:dyDescent="0.25">
      <c r="E140" s="51"/>
      <c r="F140" s="48"/>
      <c r="H140" s="49"/>
      <c r="I140" s="48"/>
      <c r="J140" s="48"/>
      <c r="K140" s="52"/>
    </row>
    <row r="141" spans="5:11" x14ac:dyDescent="0.25">
      <c r="E141" s="51"/>
      <c r="F141" s="48"/>
      <c r="H141" s="49"/>
      <c r="I141" s="48"/>
      <c r="J141" s="48"/>
      <c r="K141" s="52"/>
    </row>
    <row r="142" spans="5:11" x14ac:dyDescent="0.25">
      <c r="E142" s="51"/>
      <c r="F142" s="48"/>
      <c r="H142" s="49"/>
      <c r="I142" s="48"/>
      <c r="J142" s="48"/>
      <c r="K142" s="52"/>
    </row>
    <row r="143" spans="5:11" x14ac:dyDescent="0.25">
      <c r="E143" s="51"/>
      <c r="F143" s="48"/>
      <c r="H143" s="49"/>
      <c r="I143" s="48"/>
      <c r="J143" s="48"/>
      <c r="K143" s="52"/>
    </row>
    <row r="144" spans="5:11" x14ac:dyDescent="0.25">
      <c r="E144" s="51"/>
      <c r="F144" s="48"/>
      <c r="H144" s="49"/>
      <c r="I144" s="48"/>
      <c r="J144" s="48"/>
      <c r="K144" s="52"/>
    </row>
    <row r="145" spans="5:11" x14ac:dyDescent="0.25">
      <c r="E145" s="51"/>
      <c r="F145" s="48"/>
      <c r="H145" s="49"/>
      <c r="I145" s="48"/>
      <c r="J145" s="48"/>
      <c r="K145" s="52"/>
    </row>
    <row r="146" spans="5:11" x14ac:dyDescent="0.25">
      <c r="E146" s="51"/>
      <c r="F146" s="48"/>
      <c r="H146" s="49"/>
      <c r="I146" s="48"/>
      <c r="J146" s="48"/>
      <c r="K146" s="52"/>
    </row>
    <row r="147" spans="5:11" x14ac:dyDescent="0.25">
      <c r="E147" s="51"/>
      <c r="F147" s="48"/>
      <c r="H147" s="49"/>
      <c r="I147" s="48"/>
      <c r="J147" s="48"/>
      <c r="K147" s="52"/>
    </row>
    <row r="148" spans="5:11" x14ac:dyDescent="0.25">
      <c r="E148" s="51"/>
      <c r="F148" s="48"/>
      <c r="H148" s="49"/>
      <c r="I148" s="48"/>
      <c r="J148" s="48"/>
      <c r="K148" s="52"/>
    </row>
    <row r="149" spans="5:11" x14ac:dyDescent="0.25">
      <c r="E149" s="51"/>
      <c r="F149" s="48"/>
      <c r="H149" s="49"/>
      <c r="I149" s="48"/>
      <c r="J149" s="48"/>
      <c r="K149" s="52"/>
    </row>
    <row r="150" spans="5:11" x14ac:dyDescent="0.25">
      <c r="E150" s="51"/>
      <c r="F150" s="48"/>
      <c r="H150" s="49"/>
      <c r="I150" s="48"/>
      <c r="J150" s="48"/>
      <c r="K150" s="52"/>
    </row>
    <row r="151" spans="5:11" x14ac:dyDescent="0.25">
      <c r="E151" s="51"/>
      <c r="F151" s="48"/>
      <c r="H151" s="49"/>
      <c r="I151" s="48"/>
      <c r="J151" s="48"/>
      <c r="K151" s="52"/>
    </row>
    <row r="152" spans="5:11" x14ac:dyDescent="0.25">
      <c r="E152" s="51"/>
      <c r="F152" s="48"/>
      <c r="H152" s="49"/>
      <c r="I152" s="48"/>
      <c r="J152" s="48"/>
      <c r="K152" s="52"/>
    </row>
    <row r="153" spans="5:11" x14ac:dyDescent="0.25">
      <c r="E153" s="51"/>
      <c r="F153" s="48"/>
      <c r="H153" s="49"/>
      <c r="I153" s="48"/>
      <c r="J153" s="48"/>
      <c r="K153" s="52"/>
    </row>
    <row r="154" spans="5:11" x14ac:dyDescent="0.25">
      <c r="E154" s="51"/>
      <c r="F154" s="48"/>
      <c r="H154" s="49"/>
      <c r="I154" s="48"/>
      <c r="J154" s="48"/>
      <c r="K154" s="52"/>
    </row>
    <row r="155" spans="5:11" x14ac:dyDescent="0.25">
      <c r="E155" s="51"/>
      <c r="F155" s="48"/>
      <c r="H155" s="49"/>
      <c r="I155" s="48"/>
      <c r="J155" s="48"/>
      <c r="K155" s="52"/>
    </row>
    <row r="156" spans="5:11" x14ac:dyDescent="0.25">
      <c r="E156" s="51"/>
      <c r="F156" s="48"/>
      <c r="H156" s="49"/>
      <c r="I156" s="48"/>
      <c r="J156" s="48"/>
      <c r="K156" s="52"/>
    </row>
    <row r="157" spans="5:11" x14ac:dyDescent="0.25">
      <c r="E157" s="51"/>
      <c r="F157" s="48"/>
      <c r="H157" s="49"/>
      <c r="I157" s="48"/>
      <c r="J157" s="48"/>
      <c r="K157" s="52"/>
    </row>
    <row r="158" spans="5:11" x14ac:dyDescent="0.25">
      <c r="E158" s="51"/>
      <c r="F158" s="48"/>
      <c r="H158" s="49"/>
      <c r="I158" s="48"/>
      <c r="J158" s="48"/>
      <c r="K158" s="52"/>
    </row>
    <row r="159" spans="5:11" x14ac:dyDescent="0.25">
      <c r="E159" s="51"/>
      <c r="F159" s="48"/>
      <c r="H159" s="49"/>
      <c r="I159" s="48"/>
      <c r="J159" s="48"/>
      <c r="K159" s="52"/>
    </row>
    <row r="160" spans="5:11" x14ac:dyDescent="0.25">
      <c r="E160" s="51"/>
      <c r="F160" s="48"/>
      <c r="H160" s="49"/>
      <c r="I160" s="48"/>
      <c r="J160" s="48"/>
      <c r="K160" s="52"/>
    </row>
    <row r="161" spans="5:11" x14ac:dyDescent="0.25">
      <c r="E161" s="51"/>
      <c r="F161" s="48"/>
      <c r="H161" s="49"/>
      <c r="I161" s="48"/>
      <c r="J161" s="48"/>
      <c r="K161" s="52"/>
    </row>
    <row r="162" spans="5:11" x14ac:dyDescent="0.25">
      <c r="E162" s="51"/>
      <c r="F162" s="48"/>
      <c r="H162" s="49"/>
      <c r="I162" s="48"/>
      <c r="J162" s="48"/>
      <c r="K162" s="52"/>
    </row>
    <row r="163" spans="5:11" x14ac:dyDescent="0.25">
      <c r="E163" s="51"/>
      <c r="F163" s="48"/>
      <c r="H163" s="49"/>
      <c r="I163" s="48"/>
      <c r="J163" s="48"/>
      <c r="K163" s="52"/>
    </row>
    <row r="164" spans="5:11" x14ac:dyDescent="0.25">
      <c r="E164" s="51"/>
      <c r="F164" s="48"/>
      <c r="H164" s="49"/>
      <c r="I164" s="48"/>
      <c r="J164" s="48"/>
      <c r="K164" s="52"/>
    </row>
    <row r="165" spans="5:11" x14ac:dyDescent="0.25">
      <c r="E165" s="51"/>
      <c r="F165" s="48"/>
      <c r="H165" s="49"/>
      <c r="I165" s="48"/>
      <c r="J165" s="48"/>
      <c r="K165" s="52"/>
    </row>
    <row r="166" spans="5:11" x14ac:dyDescent="0.25">
      <c r="E166" s="51"/>
      <c r="F166" s="48"/>
      <c r="H166" s="49"/>
      <c r="I166" s="48"/>
      <c r="J166" s="48"/>
      <c r="K166" s="52"/>
    </row>
    <row r="167" spans="5:11" x14ac:dyDescent="0.25">
      <c r="E167" s="51"/>
      <c r="F167" s="48"/>
      <c r="H167" s="49"/>
      <c r="I167" s="48"/>
      <c r="J167" s="48"/>
      <c r="K167" s="52"/>
    </row>
    <row r="168" spans="5:11" x14ac:dyDescent="0.25">
      <c r="E168" s="51"/>
      <c r="F168" s="48"/>
      <c r="H168" s="49"/>
      <c r="I168" s="48"/>
      <c r="J168" s="48"/>
      <c r="K168" s="52"/>
    </row>
    <row r="169" spans="5:11" x14ac:dyDescent="0.25">
      <c r="E169" s="51"/>
      <c r="F169" s="48"/>
      <c r="H169" s="49"/>
      <c r="I169" s="48"/>
      <c r="J169" s="48"/>
      <c r="K169" s="52"/>
    </row>
    <row r="170" spans="5:11" x14ac:dyDescent="0.25">
      <c r="E170" s="51"/>
      <c r="F170" s="48"/>
      <c r="H170" s="49"/>
      <c r="I170" s="48"/>
      <c r="J170" s="48"/>
      <c r="K170" s="52"/>
    </row>
    <row r="171" spans="5:11" x14ac:dyDescent="0.25">
      <c r="E171" s="51"/>
      <c r="F171" s="48"/>
      <c r="H171" s="49"/>
      <c r="I171" s="48"/>
      <c r="J171" s="48"/>
      <c r="K171" s="52"/>
    </row>
    <row r="172" spans="5:11" x14ac:dyDescent="0.25">
      <c r="E172" s="51"/>
      <c r="F172" s="48"/>
      <c r="H172" s="49"/>
      <c r="I172" s="48"/>
      <c r="J172" s="48"/>
      <c r="K172" s="52"/>
    </row>
    <row r="173" spans="5:11" x14ac:dyDescent="0.25">
      <c r="E173" s="51"/>
      <c r="F173" s="48"/>
      <c r="H173" s="49"/>
      <c r="I173" s="48"/>
      <c r="J173" s="48"/>
      <c r="K173" s="52"/>
    </row>
    <row r="174" spans="5:11" x14ac:dyDescent="0.25">
      <c r="E174" s="51"/>
      <c r="F174" s="48"/>
      <c r="H174" s="49"/>
      <c r="I174" s="48"/>
      <c r="J174" s="48"/>
      <c r="K174" s="52"/>
    </row>
    <row r="175" spans="5:11" x14ac:dyDescent="0.25">
      <c r="E175" s="51"/>
      <c r="F175" s="48"/>
      <c r="H175" s="49"/>
      <c r="I175" s="48"/>
      <c r="J175" s="48"/>
      <c r="K175" s="52"/>
    </row>
    <row r="176" spans="5:11" x14ac:dyDescent="0.25">
      <c r="E176" s="51"/>
      <c r="F176" s="48"/>
      <c r="H176" s="49"/>
      <c r="I176" s="48"/>
      <c r="J176" s="48"/>
      <c r="K176" s="52"/>
    </row>
    <row r="177" spans="5:11" x14ac:dyDescent="0.25">
      <c r="E177" s="51"/>
      <c r="F177" s="48"/>
      <c r="H177" s="49"/>
      <c r="I177" s="48"/>
      <c r="J177" s="48"/>
      <c r="K177" s="52"/>
    </row>
    <row r="178" spans="5:11" x14ac:dyDescent="0.25">
      <c r="E178" s="51"/>
      <c r="F178" s="48"/>
      <c r="H178" s="49"/>
      <c r="I178" s="48"/>
      <c r="J178" s="48"/>
      <c r="K178" s="52"/>
    </row>
    <row r="179" spans="5:11" x14ac:dyDescent="0.25">
      <c r="E179" s="51"/>
      <c r="F179" s="48"/>
      <c r="H179" s="49"/>
      <c r="I179" s="48"/>
      <c r="J179" s="48"/>
      <c r="K179" s="52"/>
    </row>
    <row r="180" spans="5:11" x14ac:dyDescent="0.25">
      <c r="E180" s="51"/>
      <c r="F180" s="48"/>
      <c r="H180" s="49"/>
      <c r="I180" s="48"/>
      <c r="J180" s="48"/>
      <c r="K180" s="52"/>
    </row>
    <row r="181" spans="5:11" x14ac:dyDescent="0.25">
      <c r="E181" s="51"/>
      <c r="F181" s="48"/>
      <c r="H181" s="49"/>
      <c r="I181" s="48"/>
      <c r="J181" s="48"/>
      <c r="K181" s="52"/>
    </row>
    <row r="182" spans="5:11" x14ac:dyDescent="0.25">
      <c r="E182" s="51"/>
      <c r="F182" s="48"/>
      <c r="H182" s="49"/>
      <c r="I182" s="48"/>
      <c r="J182" s="48"/>
      <c r="K182" s="52"/>
    </row>
    <row r="183" spans="5:11" x14ac:dyDescent="0.25">
      <c r="E183" s="51"/>
      <c r="F183" s="48"/>
      <c r="H183" s="49"/>
      <c r="I183" s="48"/>
      <c r="J183" s="48"/>
      <c r="K183" s="52"/>
    </row>
    <row r="184" spans="5:11" x14ac:dyDescent="0.25">
      <c r="E184" s="51"/>
      <c r="F184" s="48"/>
      <c r="H184" s="49"/>
      <c r="I184" s="48"/>
      <c r="J184" s="48"/>
      <c r="K184" s="52"/>
    </row>
    <row r="185" spans="5:11" x14ac:dyDescent="0.25">
      <c r="E185" s="51"/>
      <c r="F185" s="48"/>
      <c r="H185" s="49"/>
      <c r="I185" s="48"/>
      <c r="J185" s="48"/>
      <c r="K185" s="52"/>
    </row>
    <row r="186" spans="5:11" x14ac:dyDescent="0.25">
      <c r="E186" s="51"/>
      <c r="F186" s="48"/>
      <c r="H186" s="49"/>
      <c r="I186" s="48"/>
      <c r="J186" s="48"/>
      <c r="K186" s="52"/>
    </row>
    <row r="187" spans="5:11" x14ac:dyDescent="0.25">
      <c r="E187" s="51"/>
      <c r="F187" s="48"/>
      <c r="H187" s="49"/>
      <c r="I187" s="48"/>
      <c r="J187" s="48"/>
      <c r="K187" s="52"/>
    </row>
    <row r="188" spans="5:11" x14ac:dyDescent="0.25">
      <c r="E188" s="51"/>
      <c r="F188" s="48"/>
      <c r="H188" s="49"/>
      <c r="I188" s="48"/>
      <c r="J188" s="48"/>
      <c r="K188" s="52"/>
    </row>
    <row r="189" spans="5:11" x14ac:dyDescent="0.25">
      <c r="E189" s="51"/>
      <c r="F189" s="48"/>
      <c r="H189" s="49"/>
      <c r="I189" s="48"/>
      <c r="J189" s="48"/>
      <c r="K189" s="52"/>
    </row>
    <row r="190" spans="5:11" x14ac:dyDescent="0.25">
      <c r="E190" s="51"/>
      <c r="F190" s="48"/>
      <c r="H190" s="49"/>
      <c r="I190" s="48"/>
      <c r="J190" s="48"/>
      <c r="K190" s="52"/>
    </row>
    <row r="191" spans="5:11" x14ac:dyDescent="0.25">
      <c r="E191" s="51"/>
      <c r="F191" s="48"/>
      <c r="H191" s="49"/>
      <c r="I191" s="48"/>
      <c r="J191" s="48"/>
      <c r="K191" s="52"/>
    </row>
    <row r="192" spans="5:11" x14ac:dyDescent="0.25">
      <c r="E192" s="51"/>
      <c r="F192" s="48"/>
      <c r="H192" s="49"/>
      <c r="I192" s="48"/>
      <c r="J192" s="48"/>
      <c r="K192" s="52"/>
    </row>
    <row r="193" spans="5:11" x14ac:dyDescent="0.25">
      <c r="E193" s="51"/>
      <c r="F193" s="48"/>
      <c r="H193" s="49"/>
      <c r="I193" s="48"/>
      <c r="J193" s="48"/>
      <c r="K193" s="52"/>
    </row>
    <row r="194" spans="5:11" x14ac:dyDescent="0.25">
      <c r="E194" s="51"/>
      <c r="F194" s="48"/>
      <c r="H194" s="49"/>
      <c r="I194" s="48"/>
      <c r="J194" s="48"/>
      <c r="K194" s="52"/>
    </row>
    <row r="195" spans="5:11" x14ac:dyDescent="0.25">
      <c r="E195" s="51"/>
      <c r="F195" s="48"/>
      <c r="H195" s="49"/>
      <c r="I195" s="48"/>
      <c r="J195" s="48"/>
      <c r="K195" s="52"/>
    </row>
    <row r="196" spans="5:11" x14ac:dyDescent="0.25">
      <c r="E196" s="51"/>
      <c r="F196" s="48"/>
      <c r="H196" s="49"/>
      <c r="I196" s="48"/>
      <c r="J196" s="48"/>
      <c r="K196" s="52"/>
    </row>
    <row r="197" spans="5:11" x14ac:dyDescent="0.25">
      <c r="E197" s="51"/>
      <c r="F197" s="48"/>
      <c r="H197" s="49"/>
      <c r="I197" s="48"/>
      <c r="J197" s="48"/>
      <c r="K197" s="52"/>
    </row>
    <row r="198" spans="5:11" x14ac:dyDescent="0.25">
      <c r="E198" s="51"/>
      <c r="F198" s="48"/>
      <c r="H198" s="49"/>
      <c r="I198" s="48"/>
      <c r="J198" s="48"/>
      <c r="K198" s="52"/>
    </row>
    <row r="199" spans="5:11" x14ac:dyDescent="0.25">
      <c r="E199" s="51"/>
      <c r="F199" s="48"/>
      <c r="H199" s="49"/>
      <c r="I199" s="48"/>
      <c r="J199" s="48"/>
      <c r="K199" s="52"/>
    </row>
    <row r="200" spans="5:11" x14ac:dyDescent="0.25">
      <c r="E200" s="51"/>
      <c r="F200" s="48"/>
      <c r="H200" s="49"/>
      <c r="I200" s="48"/>
      <c r="J200" s="48"/>
      <c r="K200" s="52"/>
    </row>
    <row r="201" spans="5:11" x14ac:dyDescent="0.25">
      <c r="E201" s="51"/>
      <c r="F201" s="48"/>
      <c r="H201" s="49"/>
      <c r="I201" s="48"/>
      <c r="J201" s="48"/>
      <c r="K201" s="52"/>
    </row>
    <row r="202" spans="5:11" x14ac:dyDescent="0.25">
      <c r="E202" s="51"/>
      <c r="F202" s="48"/>
      <c r="H202" s="49"/>
      <c r="I202" s="48"/>
      <c r="J202" s="48"/>
      <c r="K202" s="52"/>
    </row>
    <row r="203" spans="5:11" x14ac:dyDescent="0.25">
      <c r="E203" s="51"/>
      <c r="F203" s="48"/>
      <c r="H203" s="49"/>
      <c r="I203" s="48"/>
      <c r="J203" s="48"/>
      <c r="K203" s="52"/>
    </row>
    <row r="204" spans="5:11" x14ac:dyDescent="0.25">
      <c r="E204" s="51"/>
      <c r="F204" s="48"/>
      <c r="H204" s="49"/>
      <c r="I204" s="48"/>
      <c r="J204" s="48"/>
      <c r="K204" s="52"/>
    </row>
    <row r="205" spans="5:11" x14ac:dyDescent="0.25">
      <c r="E205" s="51"/>
      <c r="F205" s="48"/>
      <c r="H205" s="49"/>
      <c r="I205" s="48"/>
      <c r="J205" s="48"/>
      <c r="K205" s="52"/>
    </row>
    <row r="206" spans="5:11" x14ac:dyDescent="0.25">
      <c r="E206" s="51"/>
      <c r="F206" s="48"/>
      <c r="H206" s="49"/>
      <c r="I206" s="48"/>
      <c r="J206" s="48"/>
      <c r="K206" s="52"/>
    </row>
    <row r="207" spans="5:11" x14ac:dyDescent="0.25">
      <c r="E207" s="51"/>
      <c r="F207" s="48"/>
      <c r="H207" s="49"/>
      <c r="I207" s="48"/>
      <c r="J207" s="48"/>
      <c r="K207" s="52"/>
    </row>
    <row r="208" spans="5:11" x14ac:dyDescent="0.25">
      <c r="E208" s="51"/>
      <c r="F208" s="48"/>
      <c r="H208" s="49"/>
      <c r="I208" s="48"/>
      <c r="J208" s="48"/>
      <c r="K208" s="52"/>
    </row>
    <row r="209" spans="5:11" x14ac:dyDescent="0.25">
      <c r="E209" s="51"/>
      <c r="F209" s="48"/>
      <c r="H209" s="49"/>
      <c r="I209" s="48"/>
      <c r="J209" s="48"/>
      <c r="K209" s="52"/>
    </row>
    <row r="210" spans="5:11" x14ac:dyDescent="0.25">
      <c r="E210" s="51"/>
      <c r="F210" s="48"/>
      <c r="H210" s="49"/>
      <c r="I210" s="48"/>
      <c r="J210" s="48"/>
      <c r="K210" s="52"/>
    </row>
    <row r="211" spans="5:11" x14ac:dyDescent="0.25">
      <c r="E211" s="51"/>
      <c r="F211" s="48"/>
      <c r="H211" s="49"/>
      <c r="I211" s="48"/>
      <c r="J211" s="48"/>
      <c r="K211" s="52"/>
    </row>
    <row r="212" spans="5:11" x14ac:dyDescent="0.25">
      <c r="E212" s="51"/>
      <c r="F212" s="48"/>
      <c r="H212" s="49"/>
      <c r="I212" s="48"/>
      <c r="J212" s="48"/>
      <c r="K212" s="52"/>
    </row>
    <row r="213" spans="5:11" x14ac:dyDescent="0.25">
      <c r="E213" s="51"/>
      <c r="F213" s="48"/>
      <c r="H213" s="49"/>
      <c r="I213" s="48"/>
      <c r="J213" s="48"/>
      <c r="K213" s="52"/>
    </row>
    <row r="214" spans="5:11" x14ac:dyDescent="0.25">
      <c r="E214" s="51"/>
      <c r="F214" s="48"/>
      <c r="H214" s="49"/>
      <c r="I214" s="48"/>
      <c r="J214" s="48"/>
      <c r="K214" s="52"/>
    </row>
    <row r="215" spans="5:11" x14ac:dyDescent="0.25">
      <c r="E215" s="51"/>
      <c r="F215" s="48"/>
      <c r="H215" s="49"/>
      <c r="I215" s="48"/>
      <c r="J215" s="48"/>
      <c r="K215" s="52"/>
    </row>
    <row r="216" spans="5:11" x14ac:dyDescent="0.25">
      <c r="E216" s="51"/>
      <c r="F216" s="48"/>
      <c r="H216" s="49"/>
      <c r="I216" s="48"/>
      <c r="J216" s="48"/>
      <c r="K216" s="52"/>
    </row>
    <row r="217" spans="5:11" x14ac:dyDescent="0.25">
      <c r="E217" s="51"/>
      <c r="F217" s="48"/>
      <c r="H217" s="49"/>
      <c r="I217" s="48"/>
      <c r="J217" s="48"/>
      <c r="K217" s="52"/>
    </row>
    <row r="218" spans="5:11" x14ac:dyDescent="0.25">
      <c r="E218" s="51"/>
      <c r="F218" s="48"/>
      <c r="H218" s="49"/>
      <c r="I218" s="48"/>
      <c r="J218" s="48"/>
      <c r="K218" s="52"/>
    </row>
    <row r="219" spans="5:11" x14ac:dyDescent="0.25">
      <c r="E219" s="51"/>
      <c r="F219" s="48"/>
      <c r="H219" s="49"/>
      <c r="I219" s="48"/>
      <c r="J219" s="48"/>
      <c r="K219" s="52"/>
    </row>
    <row r="220" spans="5:11" x14ac:dyDescent="0.25">
      <c r="E220" s="51"/>
      <c r="F220" s="48"/>
      <c r="H220" s="49"/>
      <c r="I220" s="48"/>
      <c r="J220" s="48"/>
      <c r="K220" s="52"/>
    </row>
    <row r="221" spans="5:11" x14ac:dyDescent="0.25">
      <c r="E221" s="51"/>
      <c r="F221" s="48"/>
      <c r="H221" s="49"/>
      <c r="I221" s="48"/>
      <c r="J221" s="48"/>
      <c r="K221" s="52"/>
    </row>
    <row r="222" spans="5:11" x14ac:dyDescent="0.25">
      <c r="E222" s="51"/>
      <c r="F222" s="48"/>
      <c r="H222" s="49"/>
      <c r="I222" s="48"/>
      <c r="J222" s="48"/>
      <c r="K222" s="52"/>
    </row>
    <row r="223" spans="5:11" x14ac:dyDescent="0.25">
      <c r="E223" s="51"/>
      <c r="F223" s="48"/>
      <c r="H223" s="49"/>
      <c r="I223" s="48"/>
      <c r="J223" s="48"/>
      <c r="K223" s="52"/>
    </row>
    <row r="224" spans="5:11" x14ac:dyDescent="0.25">
      <c r="E224" s="51"/>
      <c r="F224" s="48"/>
      <c r="H224" s="49"/>
      <c r="I224" s="48"/>
      <c r="J224" s="48"/>
      <c r="K224" s="52"/>
    </row>
    <row r="225" spans="5:11" x14ac:dyDescent="0.25">
      <c r="E225" s="51"/>
      <c r="F225" s="48"/>
      <c r="H225" s="49"/>
      <c r="I225" s="48"/>
      <c r="J225" s="48"/>
      <c r="K225" s="52"/>
    </row>
    <row r="226" spans="5:11" x14ac:dyDescent="0.25">
      <c r="E226" s="51"/>
      <c r="F226" s="48"/>
      <c r="H226" s="49"/>
      <c r="I226" s="48"/>
      <c r="J226" s="48"/>
      <c r="K226" s="52"/>
    </row>
    <row r="227" spans="5:11" x14ac:dyDescent="0.25">
      <c r="E227" s="51"/>
      <c r="F227" s="48"/>
      <c r="H227" s="49"/>
      <c r="I227" s="48"/>
      <c r="J227" s="48"/>
      <c r="K227" s="52"/>
    </row>
    <row r="228" spans="5:11" x14ac:dyDescent="0.25">
      <c r="E228" s="51"/>
      <c r="F228" s="48"/>
      <c r="H228" s="49"/>
      <c r="I228" s="48"/>
      <c r="J228" s="48"/>
      <c r="K228" s="52"/>
    </row>
    <row r="229" spans="5:11" x14ac:dyDescent="0.25">
      <c r="E229" s="51"/>
      <c r="F229" s="48"/>
      <c r="H229" s="49"/>
      <c r="I229" s="48"/>
      <c r="J229" s="48"/>
      <c r="K229" s="52"/>
    </row>
    <row r="230" spans="5:11" x14ac:dyDescent="0.25">
      <c r="E230" s="51"/>
      <c r="F230" s="48"/>
      <c r="H230" s="49"/>
      <c r="I230" s="48"/>
      <c r="J230" s="48"/>
      <c r="K230" s="52"/>
    </row>
    <row r="231" spans="5:11" x14ac:dyDescent="0.25">
      <c r="E231" s="51"/>
      <c r="F231" s="48"/>
      <c r="H231" s="49"/>
      <c r="I231" s="48"/>
      <c r="J231" s="48"/>
      <c r="K231" s="52"/>
    </row>
    <row r="232" spans="5:11" x14ac:dyDescent="0.25">
      <c r="E232" s="51"/>
      <c r="F232" s="48"/>
      <c r="H232" s="49"/>
      <c r="I232" s="48"/>
      <c r="J232" s="48"/>
      <c r="K232" s="52"/>
    </row>
    <row r="233" spans="5:11" x14ac:dyDescent="0.25">
      <c r="E233" s="51"/>
      <c r="F233" s="48"/>
      <c r="H233" s="49"/>
      <c r="I233" s="48"/>
      <c r="J233" s="48"/>
      <c r="K233" s="52"/>
    </row>
    <row r="234" spans="5:11" x14ac:dyDescent="0.25">
      <c r="E234" s="51"/>
      <c r="F234" s="48"/>
      <c r="H234" s="49"/>
      <c r="I234" s="48"/>
      <c r="J234" s="48"/>
      <c r="K234" s="52"/>
    </row>
    <row r="235" spans="5:11" x14ac:dyDescent="0.25">
      <c r="E235" s="51"/>
      <c r="F235" s="48"/>
      <c r="H235" s="49"/>
      <c r="I235" s="48"/>
      <c r="J235" s="48"/>
      <c r="K235" s="52"/>
    </row>
    <row r="236" spans="5:11" x14ac:dyDescent="0.25">
      <c r="E236" s="51"/>
      <c r="F236" s="48"/>
      <c r="H236" s="49"/>
      <c r="I236" s="48"/>
      <c r="J236" s="48"/>
      <c r="K236" s="52"/>
    </row>
    <row r="237" spans="5:11" x14ac:dyDescent="0.25">
      <c r="E237" s="51"/>
      <c r="F237" s="48"/>
      <c r="H237" s="49"/>
      <c r="I237" s="48"/>
      <c r="J237" s="48"/>
      <c r="K237" s="52"/>
    </row>
    <row r="238" spans="5:11" x14ac:dyDescent="0.25">
      <c r="E238" s="51"/>
      <c r="F238" s="48"/>
      <c r="H238" s="49"/>
      <c r="I238" s="48"/>
      <c r="J238" s="48"/>
      <c r="K238" s="52"/>
    </row>
    <row r="239" spans="5:11" x14ac:dyDescent="0.25">
      <c r="E239" s="51"/>
      <c r="F239" s="48"/>
      <c r="H239" s="49"/>
      <c r="I239" s="48"/>
      <c r="J239" s="48"/>
      <c r="K239" s="52"/>
    </row>
    <row r="240" spans="5:11" x14ac:dyDescent="0.25">
      <c r="E240" s="51"/>
      <c r="F240" s="48"/>
      <c r="H240" s="49"/>
      <c r="I240" s="48"/>
      <c r="J240" s="48"/>
      <c r="K240" s="52"/>
    </row>
    <row r="241" spans="5:11" x14ac:dyDescent="0.25">
      <c r="E241" s="51"/>
      <c r="F241" s="48"/>
      <c r="H241" s="49"/>
      <c r="I241" s="48"/>
      <c r="J241" s="48"/>
      <c r="K241" s="52"/>
    </row>
    <row r="242" spans="5:11" x14ac:dyDescent="0.25">
      <c r="E242" s="51"/>
      <c r="F242" s="48"/>
      <c r="H242" s="49"/>
      <c r="I242" s="48"/>
      <c r="J242" s="48"/>
      <c r="K242" s="52"/>
    </row>
    <row r="243" spans="5:11" x14ac:dyDescent="0.25">
      <c r="E243" s="51"/>
      <c r="F243" s="48"/>
      <c r="H243" s="49"/>
      <c r="I243" s="48"/>
      <c r="J243" s="48"/>
      <c r="K243" s="52"/>
    </row>
    <row r="244" spans="5:11" x14ac:dyDescent="0.25">
      <c r="E244" s="51"/>
      <c r="F244" s="48"/>
      <c r="H244" s="49"/>
      <c r="I244" s="48"/>
      <c r="J244" s="48"/>
      <c r="K244" s="52"/>
    </row>
    <row r="245" spans="5:11" x14ac:dyDescent="0.25">
      <c r="E245" s="51"/>
      <c r="F245" s="48"/>
      <c r="H245" s="49"/>
      <c r="I245" s="48"/>
      <c r="J245" s="48"/>
      <c r="K245" s="52"/>
    </row>
    <row r="246" spans="5:11" x14ac:dyDescent="0.25">
      <c r="E246" s="51"/>
      <c r="F246" s="48"/>
      <c r="H246" s="49"/>
      <c r="I246" s="48"/>
      <c r="J246" s="48"/>
      <c r="K246" s="52"/>
    </row>
    <row r="247" spans="5:11" x14ac:dyDescent="0.25">
      <c r="E247" s="51"/>
      <c r="F247" s="48"/>
      <c r="H247" s="49"/>
      <c r="I247" s="48"/>
      <c r="J247" s="48"/>
      <c r="K247" s="52"/>
    </row>
    <row r="248" spans="5:11" x14ac:dyDescent="0.25">
      <c r="E248" s="51"/>
      <c r="F248" s="48"/>
      <c r="H248" s="49"/>
      <c r="I248" s="48"/>
      <c r="J248" s="48"/>
      <c r="K248" s="52"/>
    </row>
    <row r="249" spans="5:11" x14ac:dyDescent="0.25">
      <c r="E249" s="51"/>
      <c r="F249" s="48"/>
      <c r="H249" s="49"/>
      <c r="I249" s="48"/>
      <c r="J249" s="48"/>
      <c r="K249" s="52"/>
    </row>
    <row r="250" spans="5:11" x14ac:dyDescent="0.25">
      <c r="E250" s="51"/>
      <c r="F250" s="48"/>
      <c r="H250" s="49"/>
      <c r="I250" s="48"/>
      <c r="J250" s="48"/>
      <c r="K250" s="52"/>
    </row>
  </sheetData>
  <autoFilter ref="A2:NR10"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</autoFilter>
  <mergeCells count="3">
    <mergeCell ref="H1:J1"/>
    <mergeCell ref="M1:AN1"/>
    <mergeCell ref="M2:AN2"/>
  </mergeCells>
  <phoneticPr fontId="19" type="noConversion"/>
  <conditionalFormatting sqref="E6">
    <cfRule type="duplicateValues" dxfId="10" priority="97"/>
  </conditionalFormatting>
  <conditionalFormatting sqref="E6">
    <cfRule type="duplicateValues" dxfId="9" priority="96"/>
  </conditionalFormatting>
  <conditionalFormatting sqref="E7">
    <cfRule type="duplicateValues" dxfId="8" priority="95"/>
  </conditionalFormatting>
  <conditionalFormatting sqref="E7">
    <cfRule type="duplicateValues" dxfId="7" priority="94"/>
  </conditionalFormatting>
  <conditionalFormatting sqref="H8">
    <cfRule type="duplicateValues" dxfId="6" priority="93"/>
  </conditionalFormatting>
  <conditionalFormatting sqref="H10">
    <cfRule type="duplicateValues" dxfId="5" priority="92"/>
  </conditionalFormatting>
  <conditionalFormatting sqref="E11:E1048576 E1:E4">
    <cfRule type="duplicateValues" dxfId="4" priority="152"/>
  </conditionalFormatting>
  <conditionalFormatting sqref="A5:B5 E5 B8 A6:A10">
    <cfRule type="duplicateValues" dxfId="3" priority="155"/>
  </conditionalFormatting>
  <conditionalFormatting sqref="H5:J10">
    <cfRule type="duplicateValues" dxfId="2" priority="159"/>
  </conditionalFormatting>
  <conditionalFormatting sqref="H9:J10">
    <cfRule type="duplicateValues" dxfId="1" priority="160"/>
  </conditionalFormatting>
  <conditionalFormatting sqref="E10">
    <cfRule type="duplicateValues" dxfId="0" priority="161"/>
  </conditionalFormatting>
  <hyperlinks>
    <hyperlink ref="J6" r:id="rId1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февраль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Мандрина, Анастасия Павловна</dc:creator>
  <cp:lastModifiedBy>Александр</cp:lastModifiedBy>
  <dcterms:created xsi:type="dcterms:W3CDTF">2015-06-05T18:19:34Z</dcterms:created>
  <dcterms:modified xsi:type="dcterms:W3CDTF">2026-02-05T12:45:22Z</dcterms:modified>
</cp:coreProperties>
</file>