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Александр\Downloads\"/>
    </mc:Choice>
  </mc:AlternateContent>
  <bookViews>
    <workbookView xWindow="0" yWindow="0" windowWidth="28800" windowHeight="12330"/>
  </bookViews>
  <sheets>
    <sheet name="Лист1" sheetId="1" r:id="rId1"/>
    <sheet name="Лист2" sheetId="2" r:id="rId2"/>
  </sheets>
  <definedNames>
    <definedName name="_xlnm._FilterDatabase" localSheetId="0" hidden="1">Лист1!$A$4:$NU$16</definedName>
  </definedNames>
  <calcPr calcId="162913" refMode="R1C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6" i="1" l="1"/>
  <c r="D35" i="2"/>
  <c r="C34" i="2"/>
  <c r="K16" i="1" l="1"/>
  <c r="D29" i="2" l="1"/>
  <c r="C28" i="2"/>
  <c r="C27" i="2"/>
  <c r="C23" i="2" l="1"/>
  <c r="C22" i="2"/>
  <c r="C21" i="2"/>
  <c r="C18" i="2" l="1"/>
  <c r="C13" i="2"/>
  <c r="D15" i="2"/>
  <c r="D9" i="2"/>
  <c r="D10" i="2"/>
  <c r="D6" i="2" l="1"/>
  <c r="C10" i="2" l="1"/>
  <c r="C9" i="2"/>
  <c r="L6" i="1" l="1"/>
  <c r="L7" i="1"/>
  <c r="L8" i="1"/>
  <c r="L9" i="1"/>
  <c r="L10" i="1"/>
  <c r="L11" i="1"/>
  <c r="L12" i="1"/>
  <c r="L13" i="1"/>
  <c r="L14" i="1"/>
  <c r="L15" i="1"/>
  <c r="K13" i="1" l="1"/>
  <c r="K12" i="1"/>
  <c r="K11" i="1"/>
  <c r="K10" i="1"/>
  <c r="K9" i="1"/>
  <c r="K8" i="1"/>
  <c r="K7" i="1"/>
  <c r="K6" i="1"/>
  <c r="L5" i="1"/>
  <c r="K5" i="1" l="1"/>
  <c r="K3" i="1" s="1"/>
  <c r="L3" i="1"/>
  <c r="L1" i="1" s="1"/>
</calcChain>
</file>

<file path=xl/sharedStrings.xml><?xml version="1.0" encoding="utf-8"?>
<sst xmlns="http://schemas.openxmlformats.org/spreadsheetml/2006/main" count="226" uniqueCount="125">
  <si>
    <t>ЗАПОЛНЯЕТСЯ УПФ</t>
  </si>
  <si>
    <t>ИД</t>
  </si>
  <si>
    <t>№ п/п</t>
  </si>
  <si>
    <t>ТМ</t>
  </si>
  <si>
    <t>УПФ</t>
  </si>
  <si>
    <t>Адрес объекта КАК В 1с</t>
  </si>
  <si>
    <t>Вид оказываемых услуг</t>
  </si>
  <si>
    <t>Подрядчик</t>
  </si>
  <si>
    <t>ДМ</t>
  </si>
  <si>
    <t>Email</t>
  </si>
  <si>
    <t>Часы</t>
  </si>
  <si>
    <t>Кол-во часов по дням</t>
  </si>
  <si>
    <t>комментарий</t>
  </si>
  <si>
    <t>чт</t>
  </si>
  <si>
    <t>пт</t>
  </si>
  <si>
    <t>сб</t>
  </si>
  <si>
    <t>вс</t>
  </si>
  <si>
    <t>пн</t>
  </si>
  <si>
    <t>вт</t>
  </si>
  <si>
    <t>ср</t>
  </si>
  <si>
    <t>Сорокина Оксана Валерьевна</t>
  </si>
  <si>
    <t>Перспектива</t>
  </si>
  <si>
    <t>Барышникова Евгения Олеговна</t>
  </si>
  <si>
    <t>Очнев Алексей Михайлович</t>
  </si>
  <si>
    <t>Волкова Евгения Анатольевна</t>
  </si>
  <si>
    <t>Тюмень, Новоселов, 107, пом. 3,4</t>
  </si>
  <si>
    <t>Плеханова Марина Юрьевна</t>
  </si>
  <si>
    <t>mplehanova@monetka.ru</t>
  </si>
  <si>
    <t>Вятчанина Татьяна Валерьевна</t>
  </si>
  <si>
    <t>Ишим, Ялуторовская, 91</t>
  </si>
  <si>
    <t>Долгушев Владислав Сергеевич</t>
  </si>
  <si>
    <t>vdolgushev@monetka.ru</t>
  </si>
  <si>
    <t>Кривогузова Диана Зиннатовна</t>
  </si>
  <si>
    <t>Тобольск, 7а мкрн, 39/4</t>
  </si>
  <si>
    <t>Рознин Денис Адылович</t>
  </si>
  <si>
    <t>droznin@monetka.ru</t>
  </si>
  <si>
    <t>Тобольск, Октябрьская, 46</t>
  </si>
  <si>
    <t>Зайдулина Рамзия Азисчановна</t>
  </si>
  <si>
    <t>rshishalova@monetka.ru</t>
  </si>
  <si>
    <t>Тобольск, Пушкина, 21</t>
  </si>
  <si>
    <t>Бухарова Татьяна Аркадьевна</t>
  </si>
  <si>
    <t>tbuharova@monetka.ru</t>
  </si>
  <si>
    <t>Уват, Речная, зд. 19а, пом. 3</t>
  </si>
  <si>
    <t>Кулакова Анастасия Георгиевна</t>
  </si>
  <si>
    <t>Тюмень, Жуковского, 76, корпус 1</t>
  </si>
  <si>
    <t>Михейкина Любовь Леонидовна</t>
  </si>
  <si>
    <t>Ялуторовск, Ленина, 17, строение 2</t>
  </si>
  <si>
    <t>Кочнева Галина Евгеньевна</t>
  </si>
  <si>
    <t>79123911218</t>
  </si>
  <si>
    <t>gekochneva@monetka.ru</t>
  </si>
  <si>
    <t>Реймер Евгения Юрьевна</t>
  </si>
  <si>
    <t>Тюмень, Вербовая, 4, к. 2, пом. 9</t>
  </si>
  <si>
    <t>Шохирева Елена Валерьевна</t>
  </si>
  <si>
    <t>eshohireva@monetka.ru</t>
  </si>
  <si>
    <t>Тюмень, Эльвиры Федоровой, 1, пом. 3</t>
  </si>
  <si>
    <t>Сараева Анастасия Владимировна</t>
  </si>
  <si>
    <t>Тобольск, 7 мкр, 48б, п.1 п.2</t>
  </si>
  <si>
    <t>Шатров Иван Владимирович</t>
  </si>
  <si>
    <t>Тюмень, Тимофея Кармацкого, 11, пом. 3,4</t>
  </si>
  <si>
    <t>212 руб Без НДС  с 01.09.2025</t>
  </si>
  <si>
    <t>1 аут</t>
  </si>
  <si>
    <t>не более 170 часов</t>
  </si>
  <si>
    <t xml:space="preserve">Телефон </t>
  </si>
  <si>
    <t>Количество</t>
  </si>
  <si>
    <t>2 аут</t>
  </si>
  <si>
    <t>не более 340 часов</t>
  </si>
  <si>
    <t xml:space="preserve">выкладка товара </t>
  </si>
  <si>
    <t>2 вакансии+ 1 больничный</t>
  </si>
  <si>
    <t>79129234783</t>
  </si>
  <si>
    <t xml:space="preserve">1 вакансия </t>
  </si>
  <si>
    <t>выкладка товара</t>
  </si>
  <si>
    <t>перспектива</t>
  </si>
  <si>
    <t>Сунцова Клара Владимировна</t>
  </si>
  <si>
    <t>постоянный</t>
  </si>
  <si>
    <t>временный</t>
  </si>
  <si>
    <t>ksuntsova@monetka.ru</t>
  </si>
  <si>
    <t>нет вакансии</t>
  </si>
  <si>
    <t>Тюмень, Станционная, 24, Корпус 1/4, 1/5</t>
  </si>
  <si>
    <t>Филатова Галина Игоревна</t>
  </si>
  <si>
    <t>gfilatova@monetka.ru</t>
  </si>
  <si>
    <t>Тюмень, Ватутина, 16а-1</t>
  </si>
  <si>
    <t>Плаксина Эльвира Можировна</t>
  </si>
  <si>
    <t>79048884849</t>
  </si>
  <si>
    <t>eplaksina@monetka.ru</t>
  </si>
  <si>
    <t>Тюмень, Широтная, 110, корп 1/2</t>
  </si>
  <si>
    <t>Тюмень, Широтная, 108г</t>
  </si>
  <si>
    <t>Борки, Дачная, зд. 1А</t>
  </si>
  <si>
    <t>Тюмень, Заречный проезд, 12а</t>
  </si>
  <si>
    <t>Тюмень, Пожарных и Спасателей, 3, к. 1, пом. 7</t>
  </si>
  <si>
    <t>Тюмень, Судоремонтная, 30, корп. 1/1, 1/2</t>
  </si>
  <si>
    <t>Тюмень, Черниговская, 2а, строение 1</t>
  </si>
  <si>
    <t>1 вакансия ПУ+БЛ</t>
  </si>
  <si>
    <t>2 БЛ ПУ</t>
  </si>
  <si>
    <t>2 вакансии ПУ (Совмещения)</t>
  </si>
  <si>
    <t>1 вакансия ПУ+БЛ(Совмещения)</t>
  </si>
  <si>
    <t>2 БЛ ПУ((Совмещения)</t>
  </si>
  <si>
    <t>2 Вакансии((Совмещения)</t>
  </si>
  <si>
    <t>2 Вакансии (</t>
  </si>
  <si>
    <t>Итого</t>
  </si>
  <si>
    <t>Тобольск, тер. Зона Вузов, 7, пом. 3</t>
  </si>
  <si>
    <t>СВ</t>
  </si>
  <si>
    <t>3 БЛ ПУ</t>
  </si>
  <si>
    <t>Кому</t>
  </si>
  <si>
    <t>Тема</t>
  </si>
  <si>
    <t>Отправлено</t>
  </si>
  <si>
    <t>Размер</t>
  </si>
  <si>
    <t>Категории</t>
  </si>
  <si>
    <t>Кетова, Светлана Владимировна; Дегтярева, Анна Александровна</t>
  </si>
  <si>
    <t>Canceled: Карта дня - Разбор резюме авито</t>
  </si>
  <si>
    <t>12 Кбайт</t>
  </si>
  <si>
    <t xml:space="preserve">Афанасьева </t>
  </si>
  <si>
    <t>Абатское, Революции, зд. 13</t>
  </si>
  <si>
    <t>2 ОТ, 2 БЛ</t>
  </si>
  <si>
    <t>Тюмень, Рождественская, 5а</t>
  </si>
  <si>
    <t>3 БЛ (СВ)</t>
  </si>
  <si>
    <t xml:space="preserve">2 вакансии и БЛ. </t>
  </si>
  <si>
    <t>2 вакансии</t>
  </si>
  <si>
    <t>Вакансия и 2 ДЛ БЛ</t>
  </si>
  <si>
    <t>Тюмень, Дружбы, 167, пом. 1</t>
  </si>
  <si>
    <t xml:space="preserve">2 вакансии </t>
  </si>
  <si>
    <t>Орлов Олег Николаевич</t>
  </si>
  <si>
    <t>79526772968</t>
  </si>
  <si>
    <t>oorlov@monetka.ru</t>
  </si>
  <si>
    <t>Казанское, Октябрьская, 6-2</t>
  </si>
  <si>
    <t>Афанасьева Альбина Сергеевна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</si>
</sst>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10"/>
      <color theme="1"/>
      <name val="Tahoma"/>
      <family val="2"/>
    </font>
    <font>
      <sz val="8"/>
      <name val="Arial"/>
      <family val="2"/>
      <charset val="204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0">
    <xf numFmtId="0" fontId="0" fillId="0" borderId="0"/>
    <xf numFmtId="43" fontId="5" fillId="0" borderId="0" applyFont="0" applyFill="0" applyBorder="0" applyAlignment="0" applyProtection="0"/>
    <xf numFmtId="0" fontId="4" fillId="0" borderId="0"/>
    <xf numFmtId="0" fontId="3" fillId="0" borderId="0"/>
    <xf numFmtId="0" fontId="22" fillId="0" borderId="0"/>
    <xf numFmtId="0" fontId="23" fillId="0" borderId="0">
      <alignment horizontal="left"/>
    </xf>
    <xf numFmtId="0" fontId="3" fillId="0" borderId="0"/>
    <xf numFmtId="0" fontId="3" fillId="0" borderId="0"/>
    <xf numFmtId="0" fontId="5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86">
    <xf numFmtId="0" fontId="0" fillId="0" borderId="0" xfId="0"/>
    <xf numFmtId="0" fontId="10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0" borderId="0" xfId="0" applyFont="1" applyFill="1" applyBorder="1"/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0" borderId="0" xfId="0" applyFont="1" applyFill="1"/>
    <xf numFmtId="0" fontId="8" fillId="0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left"/>
    </xf>
    <xf numFmtId="0" fontId="11" fillId="0" borderId="0" xfId="0" applyFont="1" applyFill="1"/>
    <xf numFmtId="0" fontId="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9" fontId="14" fillId="2" borderId="1" xfId="0" applyNumberFormat="1" applyFont="1" applyFill="1" applyBorder="1" applyAlignment="1">
      <alignment horizontal="center" vertical="center"/>
    </xf>
    <xf numFmtId="0" fontId="13" fillId="3" borderId="6" xfId="0" applyFont="1" applyFill="1" applyBorder="1"/>
    <xf numFmtId="0" fontId="13" fillId="3" borderId="3" xfId="0" applyFont="1" applyFill="1" applyBorder="1"/>
    <xf numFmtId="0" fontId="8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8" fillId="0" borderId="0" xfId="0" applyFont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11" fillId="0" borderId="0" xfId="0" applyFont="1" applyBorder="1"/>
    <xf numFmtId="0" fontId="11" fillId="0" borderId="0" xfId="0" applyFont="1"/>
    <xf numFmtId="0" fontId="16" fillId="4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/>
    </xf>
    <xf numFmtId="0" fontId="17" fillId="2" borderId="1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8" fillId="0" borderId="0" xfId="0" applyFont="1" applyFill="1"/>
    <xf numFmtId="44" fontId="19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2" fontId="19" fillId="2" borderId="1" xfId="1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2" fontId="20" fillId="4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Font="1" applyFill="1" applyAlignment="1">
      <alignment horizontal="center"/>
    </xf>
    <xf numFmtId="0" fontId="19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9" fillId="2" borderId="1" xfId="0" applyNumberFormat="1" applyFont="1" applyFill="1" applyBorder="1" applyAlignment="1">
      <alignment horizontal="center" vertical="center" wrapText="1"/>
    </xf>
    <xf numFmtId="164" fontId="21" fillId="5" borderId="1" xfId="2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>
      <alignment horizontal="center"/>
    </xf>
    <xf numFmtId="0" fontId="18" fillId="0" borderId="1" xfId="0" applyFont="1" applyFill="1" applyBorder="1"/>
    <xf numFmtId="0" fontId="11" fillId="0" borderId="1" xfId="0" applyFont="1" applyFill="1" applyBorder="1" applyAlignment="1">
      <alignment horizontal="left"/>
    </xf>
    <xf numFmtId="0" fontId="15" fillId="4" borderId="1" xfId="0" applyFont="1" applyFill="1" applyBorder="1" applyAlignment="1" applyProtection="1">
      <alignment horizontal="center" vertical="center"/>
      <protection locked="0"/>
    </xf>
    <xf numFmtId="0" fontId="15" fillId="6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15" fillId="0" borderId="1" xfId="0" applyFont="1" applyFill="1" applyBorder="1" applyAlignment="1" applyProtection="1">
      <alignment horizontal="center" vertical="center"/>
      <protection locked="0"/>
    </xf>
    <xf numFmtId="0" fontId="18" fillId="7" borderId="1" xfId="0" applyFont="1" applyFill="1" applyBorder="1"/>
    <xf numFmtId="0" fontId="18" fillId="0" borderId="1" xfId="0" applyFont="1" applyFill="1" applyBorder="1" applyAlignment="1">
      <alignment horizontal="center"/>
    </xf>
    <xf numFmtId="0" fontId="18" fillId="6" borderId="1" xfId="0" applyFont="1" applyFill="1" applyBorder="1"/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 applyProtection="1">
      <alignment horizontal="left" vertical="center"/>
      <protection locked="0"/>
    </xf>
    <xf numFmtId="0" fontId="7" fillId="4" borderId="1" xfId="0" applyFont="1" applyFill="1" applyBorder="1" applyAlignment="1">
      <alignment horizontal="left"/>
    </xf>
    <xf numFmtId="0" fontId="17" fillId="4" borderId="1" xfId="0" applyFont="1" applyFill="1" applyBorder="1" applyAlignment="1">
      <alignment horizontal="center" vertical="center"/>
    </xf>
    <xf numFmtId="0" fontId="18" fillId="4" borderId="1" xfId="0" applyFont="1" applyFill="1" applyBorder="1"/>
    <xf numFmtId="0" fontId="18" fillId="4" borderId="0" xfId="0" applyFont="1" applyFill="1"/>
    <xf numFmtId="0" fontId="7" fillId="3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15" fillId="0" borderId="1" xfId="0" applyFont="1" applyBorder="1" applyAlignment="1" applyProtection="1">
      <alignment vertical="center"/>
      <protection locked="0"/>
    </xf>
    <xf numFmtId="0" fontId="0" fillId="0" borderId="1" xfId="0" applyBorder="1"/>
    <xf numFmtId="2" fontId="0" fillId="0" borderId="1" xfId="0" applyNumberFormat="1" applyBorder="1"/>
    <xf numFmtId="0" fontId="7" fillId="3" borderId="0" xfId="0" applyFont="1" applyFill="1" applyBorder="1" applyAlignment="1">
      <alignment vertical="center"/>
    </xf>
    <xf numFmtId="0" fontId="0" fillId="0" borderId="0" xfId="0" applyBorder="1"/>
    <xf numFmtId="2" fontId="0" fillId="0" borderId="0" xfId="0" applyNumberFormat="1" applyBorder="1"/>
    <xf numFmtId="20" fontId="0" fillId="0" borderId="0" xfId="0" applyNumberFormat="1"/>
    <xf numFmtId="0" fontId="10" fillId="2" borderId="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</cellXfs>
  <cellStyles count="20">
    <cellStyle name="Обычный" xfId="0" builtinId="0"/>
    <cellStyle name="Обычный 2" xfId="4"/>
    <cellStyle name="Обычный 2 2" xfId="10"/>
    <cellStyle name="Обычный 27" xfId="19"/>
    <cellStyle name="Обычный 3" xfId="5"/>
    <cellStyle name="Обычный 3 2" xfId="11"/>
    <cellStyle name="Обычный 4" xfId="6"/>
    <cellStyle name="Обычный 4 2" xfId="12"/>
    <cellStyle name="Обычный 4 3" xfId="15"/>
    <cellStyle name="Обычный 5" xfId="2"/>
    <cellStyle name="Обычный 5 2" xfId="7"/>
    <cellStyle name="Обычный 5 3" xfId="16"/>
    <cellStyle name="Обычный 6" xfId="9"/>
    <cellStyle name="Обычный 6 2" xfId="17"/>
    <cellStyle name="Обычный 7" xfId="8"/>
    <cellStyle name="Обычный 8" xfId="3"/>
    <cellStyle name="Обычный 9" xfId="14"/>
    <cellStyle name="Финансовый" xfId="1" builtinId="3"/>
    <cellStyle name="Финансовый 2" xfId="13"/>
    <cellStyle name="Финансовый 3" xfId="18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U17"/>
  <sheetViews>
    <sheetView tabSelected="1" zoomScaleNormal="100" workbookViewId="0">
      <selection activeCell="A32" sqref="A14:XFD32"/>
    </sheetView>
  </sheetViews>
  <sheetFormatPr defaultColWidth="8.85546875" defaultRowHeight="15" x14ac:dyDescent="0.25"/>
  <cols>
    <col min="1" max="1" width="8.85546875" style="9"/>
    <col min="2" max="2" width="8.85546875" style="10"/>
    <col min="3" max="3" width="26" style="10" customWidth="1"/>
    <col min="4" max="4" width="18.7109375" style="10" customWidth="1"/>
    <col min="5" max="5" width="24.7109375" style="10" customWidth="1"/>
    <col min="6" max="6" width="17.85546875" style="10" customWidth="1"/>
    <col min="7" max="7" width="14.7109375" style="10" customWidth="1"/>
    <col min="8" max="8" width="18.28515625" style="9" customWidth="1"/>
    <col min="9" max="9" width="14" style="9" customWidth="1"/>
    <col min="10" max="10" width="18.7109375" style="9" customWidth="1"/>
    <col min="11" max="11" width="8.85546875" style="45"/>
    <col min="12" max="12" width="10.85546875" style="45" customWidth="1"/>
    <col min="13" max="13" width="3.7109375" style="38" customWidth="1"/>
    <col min="14" max="31" width="3.7109375" style="39" customWidth="1"/>
    <col min="32" max="32" width="3.7109375" style="65" customWidth="1"/>
    <col min="33" max="33" width="3.7109375" style="39" customWidth="1"/>
    <col min="34" max="34" width="3.28515625" style="39" customWidth="1"/>
    <col min="35" max="43" width="3.7109375" style="39" customWidth="1"/>
    <col min="44" max="44" width="28.42578125" style="36" customWidth="1"/>
    <col min="45" max="45" width="8.85546875" style="11" customWidth="1"/>
    <col min="46" max="46" width="8.85546875" style="3" customWidth="1"/>
    <col min="47" max="385" width="8.85546875" style="3"/>
    <col min="386" max="16384" width="8.85546875" style="6"/>
  </cols>
  <sheetData>
    <row r="1" spans="1:46" ht="33.75" x14ac:dyDescent="0.2">
      <c r="A1" s="12"/>
      <c r="B1" s="13"/>
      <c r="C1" s="14"/>
      <c r="D1" s="14"/>
      <c r="E1" s="15" t="s">
        <v>0</v>
      </c>
      <c r="F1" s="16"/>
      <c r="G1" s="16"/>
      <c r="H1" s="80" t="s">
        <v>0</v>
      </c>
      <c r="I1" s="81"/>
      <c r="J1" s="82"/>
      <c r="K1" s="46" t="s">
        <v>59</v>
      </c>
      <c r="L1" s="40">
        <f>L3*225</f>
        <v>362250</v>
      </c>
      <c r="M1" s="83" t="s">
        <v>0</v>
      </c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34"/>
      <c r="AS1" s="17" t="s">
        <v>60</v>
      </c>
      <c r="AT1" s="17" t="s">
        <v>61</v>
      </c>
    </row>
    <row r="2" spans="1:46" ht="24" x14ac:dyDescent="0.2">
      <c r="A2" s="18" t="s">
        <v>1</v>
      </c>
      <c r="B2" s="2" t="s">
        <v>2</v>
      </c>
      <c r="C2" s="19" t="s">
        <v>3</v>
      </c>
      <c r="D2" s="19" t="s">
        <v>4</v>
      </c>
      <c r="E2" s="1" t="s">
        <v>5</v>
      </c>
      <c r="F2" s="2" t="s">
        <v>6</v>
      </c>
      <c r="G2" s="2" t="s">
        <v>7</v>
      </c>
      <c r="H2" s="2" t="s">
        <v>8</v>
      </c>
      <c r="I2" s="2" t="s">
        <v>62</v>
      </c>
      <c r="J2" s="2" t="s">
        <v>9</v>
      </c>
      <c r="K2" s="47" t="s">
        <v>63</v>
      </c>
      <c r="L2" s="41" t="s">
        <v>10</v>
      </c>
      <c r="M2" s="85" t="s">
        <v>11</v>
      </c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35" t="s">
        <v>12</v>
      </c>
      <c r="AS2" s="20" t="s">
        <v>64</v>
      </c>
      <c r="AT2" s="21" t="s">
        <v>65</v>
      </c>
    </row>
    <row r="3" spans="1:46" x14ac:dyDescent="0.2">
      <c r="A3" s="12"/>
      <c r="B3" s="4"/>
      <c r="C3" s="22"/>
      <c r="D3" s="22"/>
      <c r="E3" s="23"/>
      <c r="F3" s="4"/>
      <c r="G3" s="5"/>
      <c r="H3" s="5"/>
      <c r="I3" s="5"/>
      <c r="J3" s="4"/>
      <c r="K3" s="48">
        <f>SUM(K5:K101)</f>
        <v>11.058823529411766</v>
      </c>
      <c r="L3" s="42">
        <f>SUM(L5:L15)</f>
        <v>1610</v>
      </c>
      <c r="M3" s="37" t="s">
        <v>13</v>
      </c>
      <c r="N3" s="37" t="s">
        <v>14</v>
      </c>
      <c r="O3" s="37" t="s">
        <v>15</v>
      </c>
      <c r="P3" s="37" t="s">
        <v>16</v>
      </c>
      <c r="Q3" s="37" t="s">
        <v>17</v>
      </c>
      <c r="R3" s="37" t="s">
        <v>18</v>
      </c>
      <c r="S3" s="37" t="s">
        <v>19</v>
      </c>
      <c r="T3" s="37" t="s">
        <v>13</v>
      </c>
      <c r="U3" s="37" t="s">
        <v>14</v>
      </c>
      <c r="V3" s="37" t="s">
        <v>15</v>
      </c>
      <c r="W3" s="37" t="s">
        <v>16</v>
      </c>
      <c r="X3" s="37" t="s">
        <v>17</v>
      </c>
      <c r="Y3" s="37" t="s">
        <v>18</v>
      </c>
      <c r="Z3" s="37" t="s">
        <v>19</v>
      </c>
      <c r="AA3" s="37" t="s">
        <v>13</v>
      </c>
      <c r="AB3" s="37" t="s">
        <v>14</v>
      </c>
      <c r="AC3" s="37" t="s">
        <v>15</v>
      </c>
      <c r="AD3" s="37" t="s">
        <v>16</v>
      </c>
      <c r="AE3" s="37" t="s">
        <v>17</v>
      </c>
      <c r="AF3" s="63" t="s">
        <v>18</v>
      </c>
      <c r="AG3" s="37" t="s">
        <v>19</v>
      </c>
      <c r="AH3" s="37" t="s">
        <v>13</v>
      </c>
      <c r="AI3" s="37" t="s">
        <v>14</v>
      </c>
      <c r="AJ3" s="37" t="s">
        <v>15</v>
      </c>
      <c r="AK3" s="37" t="s">
        <v>16</v>
      </c>
      <c r="AL3" s="37" t="s">
        <v>17</v>
      </c>
      <c r="AM3" s="37" t="s">
        <v>18</v>
      </c>
      <c r="AN3" s="37" t="s">
        <v>19</v>
      </c>
      <c r="AO3" s="37" t="s">
        <v>13</v>
      </c>
      <c r="AP3" s="37" t="s">
        <v>14</v>
      </c>
      <c r="AQ3" s="37" t="s">
        <v>15</v>
      </c>
      <c r="AR3" s="7"/>
      <c r="AS3" s="24"/>
      <c r="AT3" s="24"/>
    </row>
    <row r="4" spans="1:46" x14ac:dyDescent="0.2">
      <c r="A4" s="25"/>
      <c r="B4" s="26"/>
      <c r="C4" s="22"/>
      <c r="D4" s="22"/>
      <c r="E4" s="27"/>
      <c r="F4" s="26"/>
      <c r="G4" s="28"/>
      <c r="H4" s="28"/>
      <c r="I4" s="28"/>
      <c r="J4" s="26"/>
      <c r="K4" s="37"/>
      <c r="L4" s="43"/>
      <c r="M4" s="37">
        <v>1</v>
      </c>
      <c r="N4" s="37">
        <v>2</v>
      </c>
      <c r="O4" s="37">
        <v>3</v>
      </c>
      <c r="P4" s="37">
        <v>4</v>
      </c>
      <c r="Q4" s="37">
        <v>5</v>
      </c>
      <c r="R4" s="37">
        <v>6</v>
      </c>
      <c r="S4" s="37">
        <v>7</v>
      </c>
      <c r="T4" s="37">
        <v>8</v>
      </c>
      <c r="U4" s="37">
        <v>9</v>
      </c>
      <c r="V4" s="37">
        <v>10</v>
      </c>
      <c r="W4" s="37">
        <v>11</v>
      </c>
      <c r="X4" s="37">
        <v>12</v>
      </c>
      <c r="Y4" s="37">
        <v>13</v>
      </c>
      <c r="Z4" s="37">
        <v>14</v>
      </c>
      <c r="AA4" s="37">
        <v>15</v>
      </c>
      <c r="AB4" s="37">
        <v>16</v>
      </c>
      <c r="AC4" s="37">
        <v>17</v>
      </c>
      <c r="AD4" s="37">
        <v>18</v>
      </c>
      <c r="AE4" s="37">
        <v>19</v>
      </c>
      <c r="AF4" s="63">
        <v>20</v>
      </c>
      <c r="AG4" s="37">
        <v>21</v>
      </c>
      <c r="AH4" s="37">
        <v>22</v>
      </c>
      <c r="AI4" s="37">
        <v>23</v>
      </c>
      <c r="AJ4" s="37">
        <v>24</v>
      </c>
      <c r="AK4" s="37">
        <v>25</v>
      </c>
      <c r="AL4" s="37">
        <v>26</v>
      </c>
      <c r="AM4" s="37">
        <v>27</v>
      </c>
      <c r="AN4" s="37">
        <v>28</v>
      </c>
      <c r="AO4" s="37">
        <v>29</v>
      </c>
      <c r="AP4" s="37">
        <v>30</v>
      </c>
      <c r="AQ4" s="37">
        <v>31</v>
      </c>
      <c r="AR4" s="7"/>
      <c r="AS4" s="24"/>
      <c r="AT4" s="24"/>
    </row>
    <row r="5" spans="1:46" x14ac:dyDescent="0.25">
      <c r="A5" s="50">
        <v>833</v>
      </c>
      <c r="B5" s="50">
        <v>1</v>
      </c>
      <c r="C5" s="8" t="s">
        <v>22</v>
      </c>
      <c r="D5" s="8" t="s">
        <v>45</v>
      </c>
      <c r="E5" s="8" t="s">
        <v>46</v>
      </c>
      <c r="F5" s="60" t="s">
        <v>66</v>
      </c>
      <c r="G5" s="60" t="s">
        <v>21</v>
      </c>
      <c r="H5" s="61" t="s">
        <v>47</v>
      </c>
      <c r="I5" s="55" t="s">
        <v>48</v>
      </c>
      <c r="J5" s="30" t="s">
        <v>49</v>
      </c>
      <c r="K5" s="49">
        <f>L5/AS5</f>
        <v>0.91764705882352937</v>
      </c>
      <c r="L5" s="44">
        <f>SUM(M5:AQ5)</f>
        <v>156</v>
      </c>
      <c r="M5" s="53"/>
      <c r="N5" s="53"/>
      <c r="O5" s="54"/>
      <c r="P5" s="54"/>
      <c r="Q5" s="53">
        <v>8</v>
      </c>
      <c r="R5" s="53">
        <v>8</v>
      </c>
      <c r="S5" s="53">
        <v>8</v>
      </c>
      <c r="T5" s="53">
        <v>8</v>
      </c>
      <c r="U5" s="53">
        <v>8</v>
      </c>
      <c r="V5" s="54"/>
      <c r="W5" s="54"/>
      <c r="X5" s="51">
        <v>8</v>
      </c>
      <c r="Y5" s="51">
        <v>8</v>
      </c>
      <c r="Z5" s="51">
        <v>8</v>
      </c>
      <c r="AA5" s="51">
        <v>8</v>
      </c>
      <c r="AB5" s="51">
        <v>8</v>
      </c>
      <c r="AC5" s="57"/>
      <c r="AD5" s="57"/>
      <c r="AE5" s="51">
        <v>8</v>
      </c>
      <c r="AF5" s="64">
        <v>8</v>
      </c>
      <c r="AG5" s="51">
        <v>8</v>
      </c>
      <c r="AH5" s="51">
        <v>8</v>
      </c>
      <c r="AI5" s="51">
        <v>8</v>
      </c>
      <c r="AJ5" s="57"/>
      <c r="AK5" s="57"/>
      <c r="AL5" s="51">
        <v>8</v>
      </c>
      <c r="AM5" s="51">
        <v>8</v>
      </c>
      <c r="AN5" s="51">
        <v>8</v>
      </c>
      <c r="AO5" s="51">
        <v>6</v>
      </c>
      <c r="AP5" s="51">
        <v>6</v>
      </c>
      <c r="AQ5" s="57"/>
      <c r="AR5" s="52" t="s">
        <v>67</v>
      </c>
      <c r="AS5" s="11">
        <v>170</v>
      </c>
    </row>
    <row r="6" spans="1:46" x14ac:dyDescent="0.25">
      <c r="A6" s="50">
        <v>4334</v>
      </c>
      <c r="B6" s="50">
        <v>2</v>
      </c>
      <c r="C6" s="8" t="s">
        <v>20</v>
      </c>
      <c r="D6" s="8" t="s">
        <v>28</v>
      </c>
      <c r="E6" s="8" t="s">
        <v>29</v>
      </c>
      <c r="F6" s="60" t="s">
        <v>66</v>
      </c>
      <c r="G6" s="60" t="s">
        <v>21</v>
      </c>
      <c r="H6" s="8" t="s">
        <v>30</v>
      </c>
      <c r="I6" s="8" t="s">
        <v>68</v>
      </c>
      <c r="J6" s="8" t="s">
        <v>31</v>
      </c>
      <c r="K6" s="49">
        <f t="shared" ref="K6:K13" si="0">L6/AS6</f>
        <v>0.78823529411764703</v>
      </c>
      <c r="L6" s="44">
        <f t="shared" ref="L6:L15" si="1">SUM(M6:AQ6)</f>
        <v>134</v>
      </c>
      <c r="M6" s="53"/>
      <c r="N6" s="53"/>
      <c r="O6" s="54"/>
      <c r="P6" s="54"/>
      <c r="Q6" s="53"/>
      <c r="R6" s="53">
        <v>8</v>
      </c>
      <c r="S6" s="53">
        <v>8</v>
      </c>
      <c r="T6" s="53"/>
      <c r="U6" s="53"/>
      <c r="V6" s="54">
        <v>8</v>
      </c>
      <c r="W6" s="54">
        <v>10</v>
      </c>
      <c r="X6" s="53"/>
      <c r="Y6" s="53"/>
      <c r="Z6" s="53">
        <v>10</v>
      </c>
      <c r="AA6" s="53">
        <v>10</v>
      </c>
      <c r="AB6" s="53"/>
      <c r="AC6" s="54"/>
      <c r="AD6" s="54">
        <v>10</v>
      </c>
      <c r="AE6" s="53">
        <v>10</v>
      </c>
      <c r="AF6" s="53"/>
      <c r="AG6" s="53"/>
      <c r="AH6" s="53">
        <v>10</v>
      </c>
      <c r="AI6" s="53">
        <v>10</v>
      </c>
      <c r="AJ6" s="54"/>
      <c r="AK6" s="54"/>
      <c r="AL6" s="53">
        <v>10</v>
      </c>
      <c r="AM6" s="53">
        <v>10</v>
      </c>
      <c r="AN6" s="53"/>
      <c r="AO6" s="53"/>
      <c r="AP6" s="53">
        <v>10</v>
      </c>
      <c r="AQ6" s="54">
        <v>10</v>
      </c>
      <c r="AR6" s="52" t="s">
        <v>69</v>
      </c>
      <c r="AS6" s="11">
        <v>170</v>
      </c>
    </row>
    <row r="7" spans="1:46" x14ac:dyDescent="0.25">
      <c r="A7" s="50">
        <v>3579</v>
      </c>
      <c r="B7" s="50">
        <v>3</v>
      </c>
      <c r="C7" s="8" t="s">
        <v>23</v>
      </c>
      <c r="D7" s="8" t="s">
        <v>32</v>
      </c>
      <c r="E7" s="8" t="s">
        <v>42</v>
      </c>
      <c r="F7" s="60" t="s">
        <v>70</v>
      </c>
      <c r="G7" s="60" t="s">
        <v>71</v>
      </c>
      <c r="H7" s="8" t="s">
        <v>72</v>
      </c>
      <c r="I7" s="8">
        <v>89963228259</v>
      </c>
      <c r="J7" s="8" t="s">
        <v>75</v>
      </c>
      <c r="K7" s="49">
        <f t="shared" si="0"/>
        <v>0.94117647058823528</v>
      </c>
      <c r="L7" s="44">
        <f t="shared" si="1"/>
        <v>160</v>
      </c>
      <c r="M7" s="53"/>
      <c r="N7" s="53"/>
      <c r="O7" s="54"/>
      <c r="P7" s="54"/>
      <c r="Q7" s="53">
        <v>8</v>
      </c>
      <c r="R7" s="53">
        <v>8</v>
      </c>
      <c r="S7" s="56">
        <v>8</v>
      </c>
      <c r="T7" s="56">
        <v>8</v>
      </c>
      <c r="U7" s="53">
        <v>8</v>
      </c>
      <c r="V7" s="54"/>
      <c r="W7" s="54"/>
      <c r="X7" s="56">
        <v>8</v>
      </c>
      <c r="Y7" s="53">
        <v>8</v>
      </c>
      <c r="Z7" s="53">
        <v>8</v>
      </c>
      <c r="AA7" s="56">
        <v>8</v>
      </c>
      <c r="AB7" s="56">
        <v>8</v>
      </c>
      <c r="AC7" s="54"/>
      <c r="AD7" s="54"/>
      <c r="AE7" s="56">
        <v>8</v>
      </c>
      <c r="AF7" s="53">
        <v>8</v>
      </c>
      <c r="AG7" s="53">
        <v>8</v>
      </c>
      <c r="AH7" s="53">
        <v>8</v>
      </c>
      <c r="AI7" s="56">
        <v>8</v>
      </c>
      <c r="AJ7" s="54"/>
      <c r="AK7" s="54"/>
      <c r="AL7" s="53">
        <v>8</v>
      </c>
      <c r="AM7" s="56">
        <v>8</v>
      </c>
      <c r="AN7" s="56">
        <v>8</v>
      </c>
      <c r="AO7" s="53">
        <v>8</v>
      </c>
      <c r="AP7" s="53">
        <v>8</v>
      </c>
      <c r="AQ7" s="54"/>
      <c r="AR7" s="52" t="s">
        <v>73</v>
      </c>
      <c r="AS7" s="11">
        <v>170</v>
      </c>
    </row>
    <row r="8" spans="1:46" x14ac:dyDescent="0.25">
      <c r="A8" s="50">
        <v>1915</v>
      </c>
      <c r="B8" s="50">
        <v>4</v>
      </c>
      <c r="C8" s="8" t="s">
        <v>23</v>
      </c>
      <c r="D8" s="8" t="s">
        <v>32</v>
      </c>
      <c r="E8" s="8" t="s">
        <v>33</v>
      </c>
      <c r="F8" s="60" t="s">
        <v>70</v>
      </c>
      <c r="G8" s="60" t="s">
        <v>71</v>
      </c>
      <c r="H8" s="8" t="s">
        <v>34</v>
      </c>
      <c r="I8" s="8">
        <v>79526779943</v>
      </c>
      <c r="J8" s="8" t="s">
        <v>35</v>
      </c>
      <c r="K8" s="49">
        <f t="shared" si="0"/>
        <v>0.94117647058823528</v>
      </c>
      <c r="L8" s="44">
        <f t="shared" si="1"/>
        <v>160</v>
      </c>
      <c r="M8" s="58"/>
      <c r="N8" s="51"/>
      <c r="O8" s="59"/>
      <c r="P8" s="59">
        <v>8</v>
      </c>
      <c r="Q8" s="51">
        <v>8</v>
      </c>
      <c r="R8" s="51"/>
      <c r="S8" s="51">
        <v>8</v>
      </c>
      <c r="T8" s="51">
        <v>8</v>
      </c>
      <c r="U8" s="51">
        <v>8</v>
      </c>
      <c r="V8" s="59"/>
      <c r="W8" s="59">
        <v>8</v>
      </c>
      <c r="X8" s="51">
        <v>8</v>
      </c>
      <c r="Y8" s="51"/>
      <c r="Z8" s="51">
        <v>8</v>
      </c>
      <c r="AA8" s="51">
        <v>8</v>
      </c>
      <c r="AB8" s="51">
        <v>8</v>
      </c>
      <c r="AC8" s="59"/>
      <c r="AD8" s="59">
        <v>8</v>
      </c>
      <c r="AE8" s="51">
        <v>8</v>
      </c>
      <c r="AF8" s="64"/>
      <c r="AG8" s="51">
        <v>8</v>
      </c>
      <c r="AH8" s="51">
        <v>8</v>
      </c>
      <c r="AI8" s="51">
        <v>8</v>
      </c>
      <c r="AJ8" s="59"/>
      <c r="AK8" s="59">
        <v>8</v>
      </c>
      <c r="AL8" s="51">
        <v>8</v>
      </c>
      <c r="AM8" s="51"/>
      <c r="AN8" s="51">
        <v>8</v>
      </c>
      <c r="AO8" s="51">
        <v>8</v>
      </c>
      <c r="AP8" s="51">
        <v>8</v>
      </c>
      <c r="AQ8" s="59"/>
      <c r="AR8" s="52" t="s">
        <v>73</v>
      </c>
      <c r="AS8" s="11">
        <v>170</v>
      </c>
    </row>
    <row r="9" spans="1:46" x14ac:dyDescent="0.25">
      <c r="A9" s="50">
        <v>609</v>
      </c>
      <c r="B9" s="50">
        <v>5</v>
      </c>
      <c r="C9" s="8" t="s">
        <v>23</v>
      </c>
      <c r="D9" s="8" t="s">
        <v>32</v>
      </c>
      <c r="E9" s="8" t="s">
        <v>36</v>
      </c>
      <c r="F9" s="60" t="s">
        <v>70</v>
      </c>
      <c r="G9" s="60" t="s">
        <v>71</v>
      </c>
      <c r="H9" s="61" t="s">
        <v>37</v>
      </c>
      <c r="I9" s="55">
        <v>79829206170</v>
      </c>
      <c r="J9" s="30" t="s">
        <v>38</v>
      </c>
      <c r="K9" s="49">
        <f t="shared" si="0"/>
        <v>0.94117647058823528</v>
      </c>
      <c r="L9" s="44">
        <f t="shared" si="1"/>
        <v>160</v>
      </c>
      <c r="M9" s="53"/>
      <c r="N9" s="53"/>
      <c r="O9" s="54"/>
      <c r="P9" s="54"/>
      <c r="Q9" s="53">
        <v>8</v>
      </c>
      <c r="R9" s="53">
        <v>8</v>
      </c>
      <c r="S9" s="53">
        <v>8</v>
      </c>
      <c r="T9" s="53">
        <v>8</v>
      </c>
      <c r="U9" s="53">
        <v>8</v>
      </c>
      <c r="V9" s="54"/>
      <c r="W9" s="54"/>
      <c r="X9" s="51">
        <v>8</v>
      </c>
      <c r="Y9" s="51">
        <v>8</v>
      </c>
      <c r="Z9" s="51">
        <v>8</v>
      </c>
      <c r="AA9" s="51">
        <v>8</v>
      </c>
      <c r="AB9" s="51">
        <v>8</v>
      </c>
      <c r="AC9" s="57"/>
      <c r="AD9" s="57"/>
      <c r="AE9" s="51">
        <v>8</v>
      </c>
      <c r="AF9" s="64">
        <v>8</v>
      </c>
      <c r="AG9" s="51">
        <v>8</v>
      </c>
      <c r="AH9" s="51">
        <v>8</v>
      </c>
      <c r="AI9" s="51">
        <v>8</v>
      </c>
      <c r="AJ9" s="57"/>
      <c r="AK9" s="57"/>
      <c r="AL9" s="51">
        <v>8</v>
      </c>
      <c r="AM9" s="51">
        <v>8</v>
      </c>
      <c r="AN9" s="51">
        <v>8</v>
      </c>
      <c r="AO9" s="51">
        <v>8</v>
      </c>
      <c r="AP9" s="51">
        <v>8</v>
      </c>
      <c r="AQ9" s="57"/>
      <c r="AR9" s="52" t="s">
        <v>74</v>
      </c>
      <c r="AS9" s="11">
        <v>170</v>
      </c>
    </row>
    <row r="10" spans="1:46" x14ac:dyDescent="0.25">
      <c r="A10" s="50">
        <v>2487</v>
      </c>
      <c r="B10" s="50">
        <v>6</v>
      </c>
      <c r="C10" s="8" t="s">
        <v>23</v>
      </c>
      <c r="D10" s="8" t="s">
        <v>32</v>
      </c>
      <c r="E10" s="8" t="s">
        <v>39</v>
      </c>
      <c r="F10" s="60" t="s">
        <v>70</v>
      </c>
      <c r="G10" s="60" t="s">
        <v>71</v>
      </c>
      <c r="H10" s="8" t="s">
        <v>40</v>
      </c>
      <c r="I10" s="8">
        <v>79199298133</v>
      </c>
      <c r="J10" s="8" t="s">
        <v>41</v>
      </c>
      <c r="K10" s="49">
        <f t="shared" si="0"/>
        <v>0.94117647058823528</v>
      </c>
      <c r="L10" s="44">
        <f t="shared" si="1"/>
        <v>160</v>
      </c>
      <c r="M10" s="53"/>
      <c r="N10" s="53"/>
      <c r="O10" s="54"/>
      <c r="P10" s="54"/>
      <c r="Q10" s="53">
        <v>8</v>
      </c>
      <c r="R10" s="53">
        <v>8</v>
      </c>
      <c r="S10" s="53">
        <v>8</v>
      </c>
      <c r="T10" s="53">
        <v>8</v>
      </c>
      <c r="U10" s="53">
        <v>8</v>
      </c>
      <c r="V10" s="54"/>
      <c r="W10" s="54"/>
      <c r="X10" s="53">
        <v>8</v>
      </c>
      <c r="Y10" s="53">
        <v>8</v>
      </c>
      <c r="Z10" s="53">
        <v>8</v>
      </c>
      <c r="AA10" s="53">
        <v>8</v>
      </c>
      <c r="AB10" s="53">
        <v>8</v>
      </c>
      <c r="AC10" s="54"/>
      <c r="AD10" s="54"/>
      <c r="AE10" s="53">
        <v>8</v>
      </c>
      <c r="AF10" s="53">
        <v>8</v>
      </c>
      <c r="AG10" s="53">
        <v>8</v>
      </c>
      <c r="AH10" s="53">
        <v>8</v>
      </c>
      <c r="AI10" s="53">
        <v>8</v>
      </c>
      <c r="AJ10" s="54"/>
      <c r="AK10" s="54"/>
      <c r="AL10" s="53">
        <v>8</v>
      </c>
      <c r="AM10" s="53">
        <v>8</v>
      </c>
      <c r="AN10" s="53">
        <v>8</v>
      </c>
      <c r="AO10" s="53">
        <v>8</v>
      </c>
      <c r="AP10" s="53">
        <v>8</v>
      </c>
      <c r="AQ10" s="54"/>
      <c r="AR10" s="52" t="s">
        <v>74</v>
      </c>
      <c r="AS10" s="11">
        <v>170</v>
      </c>
    </row>
    <row r="11" spans="1:46" x14ac:dyDescent="0.25">
      <c r="A11" s="50">
        <v>3057</v>
      </c>
      <c r="B11" s="50">
        <v>7</v>
      </c>
      <c r="C11" s="8" t="s">
        <v>23</v>
      </c>
      <c r="D11" s="8" t="s">
        <v>24</v>
      </c>
      <c r="E11" s="8" t="s">
        <v>25</v>
      </c>
      <c r="F11" s="60" t="s">
        <v>70</v>
      </c>
      <c r="G11" s="60" t="s">
        <v>71</v>
      </c>
      <c r="H11" s="8" t="s">
        <v>26</v>
      </c>
      <c r="I11" s="8">
        <v>79058570566</v>
      </c>
      <c r="J11" s="8" t="s">
        <v>27</v>
      </c>
      <c r="K11" s="49">
        <f t="shared" si="0"/>
        <v>0</v>
      </c>
      <c r="L11" s="44">
        <f t="shared" si="1"/>
        <v>0</v>
      </c>
      <c r="M11" s="53"/>
      <c r="N11" s="53"/>
      <c r="O11" s="54"/>
      <c r="P11" s="54"/>
      <c r="Q11" s="53"/>
      <c r="R11" s="53"/>
      <c r="S11" s="56"/>
      <c r="T11" s="56"/>
      <c r="U11" s="53"/>
      <c r="V11" s="54"/>
      <c r="W11" s="54"/>
      <c r="X11" s="56"/>
      <c r="Y11" s="53"/>
      <c r="Z11" s="53"/>
      <c r="AA11" s="56"/>
      <c r="AB11" s="56"/>
      <c r="AC11" s="54"/>
      <c r="AD11" s="54"/>
      <c r="AE11" s="56"/>
      <c r="AF11" s="53"/>
      <c r="AG11" s="53"/>
      <c r="AH11" s="53"/>
      <c r="AI11" s="56"/>
      <c r="AJ11" s="54"/>
      <c r="AK11" s="54"/>
      <c r="AL11" s="53"/>
      <c r="AM11" s="56"/>
      <c r="AN11" s="56"/>
      <c r="AO11" s="53"/>
      <c r="AP11" s="53"/>
      <c r="AQ11" s="54"/>
      <c r="AR11" s="52" t="s">
        <v>76</v>
      </c>
      <c r="AS11" s="11">
        <v>170</v>
      </c>
    </row>
    <row r="12" spans="1:46" x14ac:dyDescent="0.25">
      <c r="A12" s="50">
        <v>4399</v>
      </c>
      <c r="B12" s="50">
        <v>8</v>
      </c>
      <c r="C12" s="8" t="s">
        <v>22</v>
      </c>
      <c r="D12" s="8" t="s">
        <v>50</v>
      </c>
      <c r="E12" s="8" t="s">
        <v>54</v>
      </c>
      <c r="F12" s="60" t="s">
        <v>70</v>
      </c>
      <c r="G12" s="60" t="s">
        <v>71</v>
      </c>
      <c r="H12" s="61" t="s">
        <v>50</v>
      </c>
      <c r="I12" s="55"/>
      <c r="J12" s="30"/>
      <c r="K12" s="49">
        <f t="shared" si="0"/>
        <v>0.94117647058823528</v>
      </c>
      <c r="L12" s="44">
        <f t="shared" si="1"/>
        <v>160</v>
      </c>
      <c r="M12" s="53"/>
      <c r="N12" s="53"/>
      <c r="O12" s="54"/>
      <c r="P12" s="54">
        <v>8</v>
      </c>
      <c r="Q12" s="53">
        <v>8</v>
      </c>
      <c r="R12" s="53">
        <v>8</v>
      </c>
      <c r="S12" s="53"/>
      <c r="T12" s="53"/>
      <c r="U12" s="53">
        <v>8</v>
      </c>
      <c r="V12" s="54">
        <v>8</v>
      </c>
      <c r="W12" s="54">
        <v>8</v>
      </c>
      <c r="X12" s="51">
        <v>8</v>
      </c>
      <c r="Y12" s="51">
        <v>8</v>
      </c>
      <c r="Z12" s="51"/>
      <c r="AA12" s="51"/>
      <c r="AB12" s="51">
        <v>8</v>
      </c>
      <c r="AC12" s="57">
        <v>8</v>
      </c>
      <c r="AD12" s="57">
        <v>8</v>
      </c>
      <c r="AE12" s="51">
        <v>8</v>
      </c>
      <c r="AF12" s="64">
        <v>8</v>
      </c>
      <c r="AG12" s="51"/>
      <c r="AH12" s="51"/>
      <c r="AI12" s="51">
        <v>8</v>
      </c>
      <c r="AJ12" s="57">
        <v>8</v>
      </c>
      <c r="AK12" s="57">
        <v>8</v>
      </c>
      <c r="AL12" s="51">
        <v>8</v>
      </c>
      <c r="AM12" s="51">
        <v>8</v>
      </c>
      <c r="AN12" s="51"/>
      <c r="AO12" s="51"/>
      <c r="AP12" s="51">
        <v>8</v>
      </c>
      <c r="AQ12" s="57">
        <v>8</v>
      </c>
      <c r="AR12" s="52"/>
      <c r="AS12" s="11">
        <v>170</v>
      </c>
    </row>
    <row r="13" spans="1:46" x14ac:dyDescent="0.25">
      <c r="A13" s="50">
        <v>2955</v>
      </c>
      <c r="B13" s="50">
        <v>9</v>
      </c>
      <c r="C13" s="8" t="s">
        <v>22</v>
      </c>
      <c r="D13" s="8" t="s">
        <v>50</v>
      </c>
      <c r="E13" s="8" t="s">
        <v>51</v>
      </c>
      <c r="F13" s="60" t="s">
        <v>70</v>
      </c>
      <c r="G13" s="60" t="s">
        <v>71</v>
      </c>
      <c r="H13" s="8" t="s">
        <v>52</v>
      </c>
      <c r="I13" s="8">
        <v>89829324253</v>
      </c>
      <c r="J13" s="8" t="s">
        <v>53</v>
      </c>
      <c r="K13" s="49">
        <f t="shared" si="0"/>
        <v>1.3647058823529412</v>
      </c>
      <c r="L13" s="44">
        <f t="shared" si="1"/>
        <v>232</v>
      </c>
      <c r="M13" s="53"/>
      <c r="N13" s="53"/>
      <c r="O13" s="54"/>
      <c r="P13" s="54">
        <v>8</v>
      </c>
      <c r="Q13" s="53">
        <v>8</v>
      </c>
      <c r="R13" s="53">
        <v>8</v>
      </c>
      <c r="S13" s="53"/>
      <c r="T13" s="53"/>
      <c r="U13" s="53">
        <v>8</v>
      </c>
      <c r="V13" s="54">
        <v>8</v>
      </c>
      <c r="W13" s="54">
        <v>8</v>
      </c>
      <c r="X13" s="53">
        <v>8</v>
      </c>
      <c r="Y13" s="53">
        <v>8</v>
      </c>
      <c r="Z13" s="53"/>
      <c r="AA13" s="53"/>
      <c r="AB13" s="53">
        <v>8</v>
      </c>
      <c r="AC13" s="54">
        <v>8</v>
      </c>
      <c r="AD13" s="54">
        <v>8</v>
      </c>
      <c r="AE13" s="53">
        <v>8</v>
      </c>
      <c r="AF13" s="53">
        <v>8</v>
      </c>
      <c r="AG13" s="53">
        <v>12</v>
      </c>
      <c r="AH13" s="53">
        <v>12</v>
      </c>
      <c r="AI13" s="53">
        <v>12</v>
      </c>
      <c r="AJ13" s="54">
        <v>12</v>
      </c>
      <c r="AK13" s="54">
        <v>12</v>
      </c>
      <c r="AL13" s="53">
        <v>12</v>
      </c>
      <c r="AM13" s="53">
        <v>12</v>
      </c>
      <c r="AN13" s="53">
        <v>12</v>
      </c>
      <c r="AO13" s="53">
        <v>12</v>
      </c>
      <c r="AP13" s="53">
        <v>12</v>
      </c>
      <c r="AQ13" s="54">
        <v>8</v>
      </c>
      <c r="AR13" s="52"/>
      <c r="AS13" s="11">
        <v>170</v>
      </c>
    </row>
    <row r="14" spans="1:46" x14ac:dyDescent="0.25">
      <c r="A14" s="50">
        <v>780</v>
      </c>
      <c r="B14" s="50">
        <v>47</v>
      </c>
      <c r="C14" s="8" t="s">
        <v>22</v>
      </c>
      <c r="D14" s="8" t="s">
        <v>50</v>
      </c>
      <c r="E14" s="8" t="s">
        <v>77</v>
      </c>
      <c r="F14" s="60" t="s">
        <v>70</v>
      </c>
      <c r="G14" s="60" t="s">
        <v>21</v>
      </c>
      <c r="H14" s="61" t="s">
        <v>78</v>
      </c>
      <c r="I14" s="55">
        <v>79612018739</v>
      </c>
      <c r="J14" s="30" t="s">
        <v>79</v>
      </c>
      <c r="K14" s="49">
        <v>2</v>
      </c>
      <c r="L14" s="44">
        <f t="shared" si="1"/>
        <v>176</v>
      </c>
      <c r="M14" s="53"/>
      <c r="N14" s="53"/>
      <c r="O14" s="54"/>
      <c r="P14" s="54"/>
      <c r="Q14" s="53"/>
      <c r="R14" s="53"/>
      <c r="S14" s="53"/>
      <c r="T14" s="53"/>
      <c r="U14" s="53"/>
      <c r="V14" s="54"/>
      <c r="W14" s="54"/>
      <c r="X14" s="51">
        <v>8</v>
      </c>
      <c r="Y14" s="51">
        <v>8</v>
      </c>
      <c r="Z14" s="51"/>
      <c r="AA14" s="51"/>
      <c r="AB14" s="51">
        <v>8</v>
      </c>
      <c r="AC14" s="57">
        <v>8</v>
      </c>
      <c r="AD14" s="57">
        <v>8</v>
      </c>
      <c r="AE14" s="51">
        <v>8</v>
      </c>
      <c r="AF14" s="64">
        <v>8</v>
      </c>
      <c r="AG14" s="51"/>
      <c r="AH14" s="51">
        <v>8</v>
      </c>
      <c r="AI14" s="51">
        <v>16</v>
      </c>
      <c r="AJ14" s="57">
        <v>16</v>
      </c>
      <c r="AK14" s="57">
        <v>16</v>
      </c>
      <c r="AL14" s="51">
        <v>16</v>
      </c>
      <c r="AM14" s="51">
        <v>16</v>
      </c>
      <c r="AN14" s="51">
        <v>8</v>
      </c>
      <c r="AO14" s="51">
        <v>8</v>
      </c>
      <c r="AP14" s="51">
        <v>8</v>
      </c>
      <c r="AQ14" s="57">
        <v>8</v>
      </c>
      <c r="AR14" s="52"/>
    </row>
    <row r="15" spans="1:46" x14ac:dyDescent="0.25">
      <c r="A15" s="50">
        <v>582</v>
      </c>
      <c r="B15" s="50">
        <v>52</v>
      </c>
      <c r="C15" s="8" t="s">
        <v>20</v>
      </c>
      <c r="D15" s="8" t="s">
        <v>43</v>
      </c>
      <c r="E15" s="8" t="s">
        <v>80</v>
      </c>
      <c r="F15" s="60" t="s">
        <v>70</v>
      </c>
      <c r="G15" s="60" t="s">
        <v>21</v>
      </c>
      <c r="H15" s="61" t="s">
        <v>81</v>
      </c>
      <c r="I15" s="55" t="s">
        <v>82</v>
      </c>
      <c r="J15" s="30" t="s">
        <v>83</v>
      </c>
      <c r="K15" s="49">
        <v>1</v>
      </c>
      <c r="L15" s="44">
        <f t="shared" si="1"/>
        <v>112</v>
      </c>
      <c r="M15" s="53"/>
      <c r="N15" s="53"/>
      <c r="O15" s="54"/>
      <c r="P15" s="54"/>
      <c r="Q15" s="53"/>
      <c r="R15" s="53"/>
      <c r="S15" s="53"/>
      <c r="T15" s="53"/>
      <c r="U15" s="53"/>
      <c r="V15" s="54"/>
      <c r="W15" s="54"/>
      <c r="X15" s="51"/>
      <c r="Y15" s="51">
        <v>8</v>
      </c>
      <c r="Z15" s="51">
        <v>8</v>
      </c>
      <c r="AA15" s="51">
        <v>8</v>
      </c>
      <c r="AB15" s="51">
        <v>8</v>
      </c>
      <c r="AC15" s="57"/>
      <c r="AD15" s="57"/>
      <c r="AE15" s="51">
        <v>8</v>
      </c>
      <c r="AF15" s="64">
        <v>8</v>
      </c>
      <c r="AG15" s="51">
        <v>8</v>
      </c>
      <c r="AH15" s="51">
        <v>8</v>
      </c>
      <c r="AI15" s="51">
        <v>8</v>
      </c>
      <c r="AJ15" s="57"/>
      <c r="AK15" s="57"/>
      <c r="AL15" s="51">
        <v>8</v>
      </c>
      <c r="AM15" s="51">
        <v>8</v>
      </c>
      <c r="AN15" s="51">
        <v>8</v>
      </c>
      <c r="AO15" s="51">
        <v>8</v>
      </c>
      <c r="AP15" s="51">
        <v>8</v>
      </c>
      <c r="AQ15" s="57"/>
      <c r="AR15" s="52"/>
    </row>
    <row r="16" spans="1:46" x14ac:dyDescent="0.25">
      <c r="A16" s="50">
        <v>3275</v>
      </c>
      <c r="B16" s="50">
        <v>74</v>
      </c>
      <c r="C16" s="8" t="s">
        <v>20</v>
      </c>
      <c r="D16" s="8" t="s">
        <v>43</v>
      </c>
      <c r="E16" s="8" t="s">
        <v>118</v>
      </c>
      <c r="F16" s="60" t="s">
        <v>70</v>
      </c>
      <c r="G16" s="60" t="s">
        <v>21</v>
      </c>
      <c r="H16" s="8" t="s">
        <v>120</v>
      </c>
      <c r="I16" s="8" t="s">
        <v>121</v>
      </c>
      <c r="J16" s="8" t="s">
        <v>122</v>
      </c>
      <c r="K16" s="49">
        <f t="shared" ref="K16" si="2">L16/170</f>
        <v>0.28235294117647058</v>
      </c>
      <c r="L16" s="44">
        <f t="shared" ref="L16" si="3">SUM(M16:AQ16)</f>
        <v>48</v>
      </c>
      <c r="M16" s="53"/>
      <c r="N16" s="53"/>
      <c r="O16" s="54"/>
      <c r="P16" s="54"/>
      <c r="Q16" s="53"/>
      <c r="R16" s="53"/>
      <c r="S16" s="56"/>
      <c r="T16" s="56"/>
      <c r="U16" s="53"/>
      <c r="V16" s="54"/>
      <c r="W16" s="54"/>
      <c r="X16" s="56"/>
      <c r="Y16" s="53"/>
      <c r="Z16" s="53"/>
      <c r="AA16" s="56"/>
      <c r="AB16" s="56"/>
      <c r="AC16" s="54"/>
      <c r="AD16" s="54"/>
      <c r="AE16" s="56"/>
      <c r="AF16" s="53"/>
      <c r="AG16" s="53"/>
      <c r="AH16" s="53"/>
      <c r="AI16" s="56">
        <v>8</v>
      </c>
      <c r="AJ16" s="54"/>
      <c r="AK16" s="54"/>
      <c r="AL16" s="53">
        <v>8</v>
      </c>
      <c r="AM16" s="56">
        <v>8</v>
      </c>
      <c r="AN16" s="56">
        <v>8</v>
      </c>
      <c r="AO16" s="53">
        <v>8</v>
      </c>
      <c r="AP16" s="53">
        <v>8</v>
      </c>
      <c r="AQ16" s="54"/>
      <c r="AR16" s="52" t="s">
        <v>100</v>
      </c>
    </row>
    <row r="17" spans="1:44" x14ac:dyDescent="0.25">
      <c r="A17" s="50"/>
      <c r="B17" s="79"/>
      <c r="C17" s="8"/>
      <c r="D17" s="8"/>
      <c r="E17" s="8"/>
      <c r="F17" s="60"/>
      <c r="G17" s="60"/>
      <c r="H17" s="8"/>
      <c r="I17" s="8"/>
      <c r="J17" s="8"/>
      <c r="K17" s="49"/>
      <c r="L17" s="44"/>
      <c r="M17" s="53"/>
      <c r="N17" s="53"/>
      <c r="O17" s="54"/>
      <c r="P17" s="54"/>
      <c r="Q17" s="53"/>
      <c r="R17" s="53"/>
      <c r="S17" s="53"/>
      <c r="T17" s="53"/>
      <c r="U17" s="53"/>
      <c r="V17" s="54"/>
      <c r="W17" s="54"/>
      <c r="X17" s="53"/>
      <c r="Y17" s="53"/>
      <c r="Z17" s="53"/>
      <c r="AA17" s="53"/>
      <c r="AB17" s="53"/>
      <c r="AC17" s="54"/>
      <c r="AD17" s="54"/>
      <c r="AE17" s="53"/>
      <c r="AF17" s="53"/>
      <c r="AG17" s="53"/>
      <c r="AH17" s="53"/>
      <c r="AI17" s="53"/>
      <c r="AJ17" s="54"/>
      <c r="AK17" s="54"/>
      <c r="AL17" s="53"/>
      <c r="AM17" s="53"/>
      <c r="AN17" s="53"/>
      <c r="AO17" s="53"/>
      <c r="AP17" s="53"/>
      <c r="AQ17" s="54"/>
      <c r="AR17" s="52"/>
    </row>
  </sheetData>
  <autoFilter ref="A4:NU16"/>
  <mergeCells count="3">
    <mergeCell ref="H1:J1"/>
    <mergeCell ref="M1:AQ1"/>
    <mergeCell ref="M2:AQ2"/>
  </mergeCells>
  <phoneticPr fontId="24" type="noConversion"/>
  <conditionalFormatting sqref="E1:E4">
    <cfRule type="duplicateValues" dxfId="50" priority="115"/>
  </conditionalFormatting>
  <conditionalFormatting sqref="E18:E1048576 E1:E4">
    <cfRule type="duplicateValues" dxfId="49" priority="119"/>
  </conditionalFormatting>
  <conditionalFormatting sqref="E17">
    <cfRule type="duplicateValues" dxfId="48" priority="6"/>
  </conditionalFormatting>
  <conditionalFormatting sqref="E15:E16">
    <cfRule type="duplicateValues" dxfId="47" priority="130"/>
  </conditionalFormatting>
  <conditionalFormatting sqref="E5:E14">
    <cfRule type="duplicateValues" dxfId="0" priority="13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A18" sqref="A18"/>
    </sheetView>
  </sheetViews>
  <sheetFormatPr defaultRowHeight="15" x14ac:dyDescent="0.25"/>
  <cols>
    <col min="2" max="2" width="26" customWidth="1"/>
    <col min="5" max="5" width="30" customWidth="1"/>
    <col min="6" max="10" width="8.85546875" customWidth="1"/>
    <col min="11" max="11" width="26.7109375" customWidth="1"/>
  </cols>
  <sheetData>
    <row r="1" spans="1:23" x14ac:dyDescent="0.25">
      <c r="B1" s="1" t="s">
        <v>5</v>
      </c>
      <c r="C1" s="47" t="s">
        <v>63</v>
      </c>
      <c r="D1" s="41" t="s">
        <v>10</v>
      </c>
    </row>
    <row r="2" spans="1:23" s="32" customFormat="1" x14ac:dyDescent="0.25">
      <c r="A2" s="29" t="s">
        <v>57</v>
      </c>
      <c r="B2" s="66" t="s">
        <v>58</v>
      </c>
      <c r="C2" s="49">
        <v>0.35294117647058826</v>
      </c>
      <c r="D2" s="44">
        <v>60</v>
      </c>
      <c r="E2" s="69" t="s">
        <v>93</v>
      </c>
      <c r="F2" s="24"/>
      <c r="G2" s="31"/>
    </row>
    <row r="3" spans="1:23" s="32" customFormat="1" x14ac:dyDescent="0.25">
      <c r="A3" s="67" t="s">
        <v>57</v>
      </c>
      <c r="B3" s="66" t="s">
        <v>88</v>
      </c>
      <c r="C3" s="49">
        <v>0.35294117647058826</v>
      </c>
      <c r="D3" s="44">
        <v>60</v>
      </c>
      <c r="E3" s="69" t="s">
        <v>94</v>
      </c>
      <c r="F3" s="68"/>
    </row>
    <row r="4" spans="1:23" s="32" customFormat="1" x14ac:dyDescent="0.25">
      <c r="A4" s="67" t="s">
        <v>57</v>
      </c>
      <c r="B4" s="66" t="s">
        <v>89</v>
      </c>
      <c r="C4" s="49">
        <v>0.28235294117647058</v>
      </c>
      <c r="D4" s="44">
        <v>48</v>
      </c>
      <c r="E4" s="69" t="s">
        <v>95</v>
      </c>
      <c r="F4" s="68"/>
    </row>
    <row r="5" spans="1:23" s="32" customFormat="1" x14ac:dyDescent="0.25">
      <c r="A5" s="67" t="s">
        <v>57</v>
      </c>
      <c r="B5" s="66" t="s">
        <v>90</v>
      </c>
      <c r="C5" s="49">
        <v>7.0588235294117646E-2</v>
      </c>
      <c r="D5" s="44">
        <v>12</v>
      </c>
      <c r="E5" s="69" t="s">
        <v>96</v>
      </c>
      <c r="F5" s="68"/>
    </row>
    <row r="6" spans="1:23" x14ac:dyDescent="0.25">
      <c r="B6" s="66" t="s">
        <v>98</v>
      </c>
      <c r="C6" s="70"/>
      <c r="D6" s="71">
        <f>SUM(D2:D5)</f>
        <v>180</v>
      </c>
    </row>
    <row r="7" spans="1:23" x14ac:dyDescent="0.25">
      <c r="B7" s="72"/>
      <c r="C7" s="73"/>
      <c r="D7" s="74"/>
    </row>
    <row r="8" spans="1:23" x14ac:dyDescent="0.25">
      <c r="B8" s="1" t="s">
        <v>5</v>
      </c>
      <c r="C8" s="47" t="s">
        <v>63</v>
      </c>
      <c r="D8" s="41" t="s">
        <v>10</v>
      </c>
    </row>
    <row r="9" spans="1:23" s="32" customFormat="1" x14ac:dyDescent="0.25">
      <c r="A9" s="67" t="s">
        <v>57</v>
      </c>
      <c r="B9" s="66" t="s">
        <v>86</v>
      </c>
      <c r="C9" s="49" t="e">
        <f>D9/170</f>
        <v>#REF!</v>
      </c>
      <c r="D9" s="44" t="e">
        <f>SUM(#REF!)</f>
        <v>#REF!</v>
      </c>
      <c r="E9" s="69" t="s">
        <v>91</v>
      </c>
      <c r="F9" s="68"/>
    </row>
    <row r="10" spans="1:23" s="32" customFormat="1" x14ac:dyDescent="0.25">
      <c r="A10" s="67" t="s">
        <v>57</v>
      </c>
      <c r="B10" s="66" t="s">
        <v>87</v>
      </c>
      <c r="C10" s="49" t="e">
        <f>D10/170</f>
        <v>#REF!</v>
      </c>
      <c r="D10" s="44" t="e">
        <f>SUM(#REF!)</f>
        <v>#REF!</v>
      </c>
      <c r="E10" s="69" t="s">
        <v>97</v>
      </c>
      <c r="F10" s="68"/>
    </row>
    <row r="11" spans="1:23" x14ac:dyDescent="0.25">
      <c r="S11" t="s">
        <v>102</v>
      </c>
      <c r="T11" t="s">
        <v>103</v>
      </c>
      <c r="U11" t="s">
        <v>104</v>
      </c>
      <c r="V11" t="s">
        <v>105</v>
      </c>
      <c r="W11" t="s">
        <v>106</v>
      </c>
    </row>
    <row r="12" spans="1:23" x14ac:dyDescent="0.25">
      <c r="B12" s="1" t="s">
        <v>5</v>
      </c>
      <c r="C12" s="47" t="s">
        <v>63</v>
      </c>
      <c r="D12" s="41" t="s">
        <v>10</v>
      </c>
      <c r="E12" s="70"/>
      <c r="S12" t="s">
        <v>107</v>
      </c>
      <c r="T12" t="s">
        <v>108</v>
      </c>
      <c r="U12" s="75">
        <v>0.4826388888888889</v>
      </c>
      <c r="V12" t="s">
        <v>109</v>
      </c>
    </row>
    <row r="13" spans="1:23" x14ac:dyDescent="0.25">
      <c r="B13" s="62" t="s">
        <v>99</v>
      </c>
      <c r="C13" s="49">
        <f>D13/170</f>
        <v>0.32941176470588235</v>
      </c>
      <c r="D13" s="44">
        <v>56</v>
      </c>
      <c r="E13" s="70" t="s">
        <v>92</v>
      </c>
    </row>
    <row r="14" spans="1:23" x14ac:dyDescent="0.25">
      <c r="B14" s="33" t="s">
        <v>56</v>
      </c>
      <c r="C14" s="49">
        <v>0.42352941176470588</v>
      </c>
      <c r="D14" s="44">
        <v>72</v>
      </c>
      <c r="E14" s="70" t="s">
        <v>101</v>
      </c>
    </row>
    <row r="15" spans="1:23" x14ac:dyDescent="0.25">
      <c r="B15" s="66" t="s">
        <v>98</v>
      </c>
      <c r="C15" s="70"/>
      <c r="D15" s="71">
        <f>SUM(D11:D14)</f>
        <v>128</v>
      </c>
    </row>
    <row r="17" spans="1:5" x14ac:dyDescent="0.25">
      <c r="B17" s="76" t="s">
        <v>5</v>
      </c>
      <c r="C17" s="77" t="s">
        <v>63</v>
      </c>
      <c r="D17" s="78" t="s">
        <v>10</v>
      </c>
    </row>
    <row r="18" spans="1:5" x14ac:dyDescent="0.25">
      <c r="A18" s="70" t="s">
        <v>110</v>
      </c>
      <c r="B18" s="70" t="s">
        <v>111</v>
      </c>
      <c r="C18" s="49">
        <f>D18/170</f>
        <v>0.57058823529411762</v>
      </c>
      <c r="D18" s="71">
        <v>97</v>
      </c>
      <c r="E18" s="70" t="s">
        <v>112</v>
      </c>
    </row>
    <row r="20" spans="1:5" ht="24" x14ac:dyDescent="0.25">
      <c r="B20" s="1" t="s">
        <v>5</v>
      </c>
      <c r="C20" s="1" t="s">
        <v>63</v>
      </c>
      <c r="D20" s="1" t="s">
        <v>10</v>
      </c>
      <c r="E20" s="1" t="s">
        <v>12</v>
      </c>
    </row>
    <row r="21" spans="1:5" x14ac:dyDescent="0.25">
      <c r="A21" s="7" t="s">
        <v>55</v>
      </c>
      <c r="B21" s="8" t="s">
        <v>85</v>
      </c>
      <c r="C21" s="49">
        <f t="shared" ref="C21:C23" si="0">D21/170</f>
        <v>0.47058823529411764</v>
      </c>
      <c r="D21" s="60">
        <v>80</v>
      </c>
      <c r="E21" s="8" t="s">
        <v>114</v>
      </c>
    </row>
    <row r="22" spans="1:5" x14ac:dyDescent="0.25">
      <c r="A22" s="7" t="s">
        <v>55</v>
      </c>
      <c r="B22" s="7" t="s">
        <v>84</v>
      </c>
      <c r="C22" s="49">
        <f t="shared" si="0"/>
        <v>0.58823529411764708</v>
      </c>
      <c r="D22" s="60">
        <v>100</v>
      </c>
      <c r="E22" s="8" t="s">
        <v>115</v>
      </c>
    </row>
    <row r="23" spans="1:5" x14ac:dyDescent="0.25">
      <c r="A23" s="7" t="s">
        <v>55</v>
      </c>
      <c r="B23" s="8" t="s">
        <v>113</v>
      </c>
      <c r="C23" s="49">
        <f t="shared" si="0"/>
        <v>0.77647058823529413</v>
      </c>
      <c r="D23" s="60">
        <v>132</v>
      </c>
      <c r="E23" s="8" t="s">
        <v>116</v>
      </c>
    </row>
    <row r="26" spans="1:5" ht="24" x14ac:dyDescent="0.25">
      <c r="B26" s="1" t="s">
        <v>5</v>
      </c>
      <c r="C26" s="1" t="s">
        <v>63</v>
      </c>
      <c r="D26" s="1" t="s">
        <v>10</v>
      </c>
      <c r="E26" s="1" t="s">
        <v>12</v>
      </c>
    </row>
    <row r="27" spans="1:5" x14ac:dyDescent="0.25">
      <c r="A27" s="7" t="s">
        <v>43</v>
      </c>
      <c r="B27" s="8" t="s">
        <v>44</v>
      </c>
      <c r="C27" s="49">
        <f t="shared" ref="C27:C28" si="1">D27/170</f>
        <v>0.8</v>
      </c>
      <c r="D27" s="60">
        <v>136</v>
      </c>
      <c r="E27" s="8" t="s">
        <v>117</v>
      </c>
    </row>
    <row r="28" spans="1:5" x14ac:dyDescent="0.25">
      <c r="A28" s="7" t="s">
        <v>43</v>
      </c>
      <c r="B28" s="7" t="s">
        <v>118</v>
      </c>
      <c r="C28" s="49">
        <f t="shared" si="1"/>
        <v>0.2411764705882353</v>
      </c>
      <c r="D28" s="60">
        <v>41</v>
      </c>
      <c r="E28" s="8" t="s">
        <v>119</v>
      </c>
    </row>
    <row r="29" spans="1:5" x14ac:dyDescent="0.25">
      <c r="B29" s="66" t="s">
        <v>98</v>
      </c>
      <c r="C29" s="70"/>
      <c r="D29" s="71">
        <f>SUM(D25:D28)</f>
        <v>177</v>
      </c>
    </row>
    <row r="33" spans="1:5" ht="24" x14ac:dyDescent="0.25">
      <c r="B33" s="1" t="s">
        <v>5</v>
      </c>
      <c r="C33" s="1" t="s">
        <v>63</v>
      </c>
      <c r="D33" s="1" t="s">
        <v>10</v>
      </c>
      <c r="E33" s="1" t="s">
        <v>12</v>
      </c>
    </row>
    <row r="34" spans="1:5" x14ac:dyDescent="0.25">
      <c r="A34" s="7" t="s">
        <v>124</v>
      </c>
      <c r="B34" s="8" t="s">
        <v>123</v>
      </c>
      <c r="C34" s="49">
        <f t="shared" ref="C34" si="2">D34/170</f>
        <v>0.37058823529411766</v>
      </c>
      <c r="D34" s="60">
        <v>63</v>
      </c>
      <c r="E34" s="8"/>
    </row>
    <row r="35" spans="1:5" x14ac:dyDescent="0.25">
      <c r="B35" s="66" t="s">
        <v>98</v>
      </c>
      <c r="C35" s="70"/>
      <c r="D35" s="71">
        <f>SUM(D32:D34)</f>
        <v>63</v>
      </c>
    </row>
  </sheetData>
  <conditionalFormatting sqref="B1">
    <cfRule type="duplicateValues" dxfId="46" priority="55"/>
  </conditionalFormatting>
  <conditionalFormatting sqref="B8">
    <cfRule type="duplicateValues" dxfId="45" priority="54"/>
  </conditionalFormatting>
  <conditionalFormatting sqref="B13">
    <cfRule type="duplicateValues" dxfId="44" priority="53"/>
  </conditionalFormatting>
  <conditionalFormatting sqref="B14">
    <cfRule type="duplicateValues" dxfId="43" priority="52"/>
  </conditionalFormatting>
  <conditionalFormatting sqref="B12">
    <cfRule type="duplicateValues" dxfId="42" priority="51"/>
  </conditionalFormatting>
  <conditionalFormatting sqref="B17">
    <cfRule type="duplicateValues" dxfId="41" priority="50"/>
  </conditionalFormatting>
  <conditionalFormatting sqref="B21">
    <cfRule type="duplicateValues" dxfId="40" priority="49"/>
  </conditionalFormatting>
  <conditionalFormatting sqref="B21">
    <cfRule type="duplicateValues" dxfId="39" priority="46"/>
    <cfRule type="duplicateValues" dxfId="38" priority="48"/>
  </conditionalFormatting>
  <conditionalFormatting sqref="B21">
    <cfRule type="duplicateValues" dxfId="37" priority="47"/>
  </conditionalFormatting>
  <conditionalFormatting sqref="B22">
    <cfRule type="duplicateValues" dxfId="36" priority="45"/>
  </conditionalFormatting>
  <conditionalFormatting sqref="B22">
    <cfRule type="duplicateValues" dxfId="35" priority="42"/>
    <cfRule type="duplicateValues" dxfId="34" priority="44"/>
  </conditionalFormatting>
  <conditionalFormatting sqref="B22">
    <cfRule type="duplicateValues" dxfId="33" priority="43"/>
  </conditionalFormatting>
  <conditionalFormatting sqref="B23">
    <cfRule type="duplicateValues" dxfId="32" priority="41"/>
  </conditionalFormatting>
  <conditionalFormatting sqref="B23">
    <cfRule type="duplicateValues" dxfId="31" priority="38"/>
    <cfRule type="duplicateValues" dxfId="30" priority="40"/>
  </conditionalFormatting>
  <conditionalFormatting sqref="B23">
    <cfRule type="duplicateValues" dxfId="29" priority="39"/>
  </conditionalFormatting>
  <conditionalFormatting sqref="B20">
    <cfRule type="duplicateValues" dxfId="28" priority="37"/>
  </conditionalFormatting>
  <conditionalFormatting sqref="C20:E20">
    <cfRule type="duplicateValues" dxfId="27" priority="36"/>
  </conditionalFormatting>
  <conditionalFormatting sqref="D21:E23">
    <cfRule type="duplicateValues" dxfId="26" priority="35"/>
  </conditionalFormatting>
  <conditionalFormatting sqref="D21:E23">
    <cfRule type="duplicateValues" dxfId="25" priority="32"/>
    <cfRule type="duplicateValues" dxfId="24" priority="34"/>
  </conditionalFormatting>
  <conditionalFormatting sqref="D21:E23">
    <cfRule type="duplicateValues" dxfId="23" priority="33"/>
  </conditionalFormatting>
  <conditionalFormatting sqref="B27">
    <cfRule type="duplicateValues" dxfId="22" priority="31"/>
  </conditionalFormatting>
  <conditionalFormatting sqref="B27">
    <cfRule type="duplicateValues" dxfId="21" priority="28"/>
    <cfRule type="duplicateValues" dxfId="20" priority="30"/>
  </conditionalFormatting>
  <conditionalFormatting sqref="B27">
    <cfRule type="duplicateValues" dxfId="19" priority="29"/>
  </conditionalFormatting>
  <conditionalFormatting sqref="B28">
    <cfRule type="duplicateValues" dxfId="18" priority="27"/>
  </conditionalFormatting>
  <conditionalFormatting sqref="B28">
    <cfRule type="duplicateValues" dxfId="17" priority="24"/>
    <cfRule type="duplicateValues" dxfId="16" priority="26"/>
  </conditionalFormatting>
  <conditionalFormatting sqref="B28">
    <cfRule type="duplicateValues" dxfId="15" priority="25"/>
  </conditionalFormatting>
  <conditionalFormatting sqref="B26">
    <cfRule type="duplicateValues" dxfId="14" priority="19"/>
  </conditionalFormatting>
  <conditionalFormatting sqref="C26:E26">
    <cfRule type="duplicateValues" dxfId="13" priority="18"/>
  </conditionalFormatting>
  <conditionalFormatting sqref="D27:E28">
    <cfRule type="duplicateValues" dxfId="12" priority="94"/>
  </conditionalFormatting>
  <conditionalFormatting sqref="D27:E28">
    <cfRule type="duplicateValues" dxfId="11" priority="95"/>
    <cfRule type="duplicateValues" dxfId="10" priority="96"/>
  </conditionalFormatting>
  <conditionalFormatting sqref="B34">
    <cfRule type="duplicateValues" dxfId="9" priority="10"/>
  </conditionalFormatting>
  <conditionalFormatting sqref="B34">
    <cfRule type="duplicateValues" dxfId="8" priority="7"/>
    <cfRule type="duplicateValues" dxfId="7" priority="9"/>
  </conditionalFormatting>
  <conditionalFormatting sqref="B34">
    <cfRule type="duplicateValues" dxfId="6" priority="8"/>
  </conditionalFormatting>
  <conditionalFormatting sqref="B33">
    <cfRule type="duplicateValues" dxfId="5" priority="2"/>
  </conditionalFormatting>
  <conditionalFormatting sqref="C33:E33">
    <cfRule type="duplicateValues" dxfId="4" priority="1"/>
  </conditionalFormatting>
  <conditionalFormatting sqref="D34:E34">
    <cfRule type="duplicateValues" dxfId="3" priority="97"/>
  </conditionalFormatting>
  <conditionalFormatting sqref="D34:E34">
    <cfRule type="duplicateValues" dxfId="2" priority="98"/>
    <cfRule type="duplicateValues" dxfId="1" priority="99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Мандрина, Анастасия Павловна</dc:creator>
  <cp:lastModifiedBy>Александр</cp:lastModifiedBy>
  <dcterms:created xsi:type="dcterms:W3CDTF">2015-06-05T18:19:34Z</dcterms:created>
  <dcterms:modified xsi:type="dcterms:W3CDTF">2026-02-05T12:48:49Z</dcterms:modified>
</cp:coreProperties>
</file>